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59650d1564ea21d1/Desktop/System Templates/"/>
    </mc:Choice>
  </mc:AlternateContent>
  <xr:revisionPtr revIDLastSave="14" documentId="13_ncr:1_{5D7ECA62-A79A-4C4F-9665-9516C8D8661E}" xr6:coauthVersionLast="47" xr6:coauthVersionMax="47" xr10:uidLastSave="{445A31D8-4DE9-40DD-BD5E-131A564A61BF}"/>
  <bookViews>
    <workbookView xWindow="-108" yWindow="-108" windowWidth="23256" windowHeight="12576" xr2:uid="{00000000-000D-0000-FFFF-FFFF00000000}"/>
  </bookViews>
  <sheets>
    <sheet name="pick up supplies q2" sheetId="3" r:id="rId1"/>
  </sheets>
  <externalReferences>
    <externalReference r:id="rId2"/>
    <externalReference r:id="rId3"/>
  </externalReferences>
  <definedNames>
    <definedName name="department" localSheetId="0">[1]!DEPT</definedName>
    <definedName name="department">[1]!DEPT</definedName>
    <definedName name="EMPLOYEES">[1]!EMPLOYEES</definedName>
    <definedName name="EXPENSE">[2]!EXPENSE</definedName>
    <definedName name="PO">[2]STATUS!$A$1:$A$65536</definedName>
    <definedName name="_xlnm.Print_Area" localSheetId="0">'pick up supplies q2'!$I$1:$BK$42</definedName>
    <definedName name="Suppliers">[2]SUPPLIERS!$A$1:$A$300</definedName>
    <definedName name="VEHICLE" localSheetId="0">[2]!VEHICLE</definedName>
    <definedName name="VEHICLE">[2]!VEHICLE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4" i="3" l="1"/>
  <c r="G24" i="3"/>
  <c r="F24" i="3"/>
  <c r="E24" i="3"/>
  <c r="D24" i="3"/>
  <c r="C24" i="3"/>
  <c r="B24" i="3"/>
  <c r="A24" i="3"/>
  <c r="H23" i="3"/>
  <c r="F23" i="3"/>
  <c r="E23" i="3"/>
  <c r="D23" i="3"/>
  <c r="C23" i="3"/>
  <c r="B23" i="3"/>
  <c r="A23" i="3"/>
  <c r="H22" i="3"/>
  <c r="G22" i="3"/>
  <c r="F22" i="3"/>
  <c r="E22" i="3"/>
  <c r="D22" i="3"/>
  <c r="C22" i="3"/>
  <c r="B22" i="3"/>
  <c r="A22" i="3"/>
  <c r="H21" i="3"/>
  <c r="G21" i="3"/>
  <c r="F21" i="3"/>
  <c r="E21" i="3"/>
  <c r="D21" i="3"/>
  <c r="C21" i="3"/>
  <c r="B21" i="3"/>
  <c r="A21" i="3"/>
  <c r="H18" i="3"/>
  <c r="G18" i="3"/>
  <c r="F18" i="3"/>
  <c r="E18" i="3"/>
  <c r="D18" i="3"/>
  <c r="C18" i="3"/>
  <c r="B18" i="3"/>
  <c r="A18" i="3"/>
  <c r="H17" i="3"/>
  <c r="G17" i="3"/>
  <c r="F17" i="3"/>
  <c r="E17" i="3"/>
  <c r="D17" i="3"/>
  <c r="C17" i="3"/>
  <c r="B17" i="3"/>
  <c r="A17" i="3"/>
  <c r="H16" i="3"/>
  <c r="G16" i="3"/>
  <c r="F16" i="3"/>
  <c r="E16" i="3"/>
  <c r="D16" i="3"/>
  <c r="C16" i="3"/>
  <c r="B16" i="3"/>
  <c r="A16" i="3"/>
</calcChain>
</file>

<file path=xl/sharedStrings.xml><?xml version="1.0" encoding="utf-8"?>
<sst xmlns="http://schemas.openxmlformats.org/spreadsheetml/2006/main" count="80" uniqueCount="66">
  <si>
    <t>Document No.</t>
  </si>
  <si>
    <t>:</t>
  </si>
  <si>
    <t>Effectivity</t>
  </si>
  <si>
    <t>Revision No.</t>
  </si>
  <si>
    <t>Last Review</t>
  </si>
  <si>
    <t xml:space="preserve">TITLE </t>
  </si>
  <si>
    <t>REQUEST FOR SUPPLY</t>
  </si>
  <si>
    <t>CONTROL NO.</t>
  </si>
  <si>
    <t>P.O NO.</t>
  </si>
  <si>
    <t>Date of Request</t>
  </si>
  <si>
    <t>Due Date</t>
  </si>
  <si>
    <t xml:space="preserve"> </t>
  </si>
  <si>
    <t>Received by / Date &amp; Time</t>
  </si>
  <si>
    <t>Department</t>
  </si>
  <si>
    <t>.</t>
  </si>
  <si>
    <t>RFS</t>
  </si>
  <si>
    <t>DATE</t>
  </si>
  <si>
    <t>DEPARTMENT</t>
  </si>
  <si>
    <t>REQUESTOR</t>
  </si>
  <si>
    <t>QTY</t>
  </si>
  <si>
    <t>UNIT</t>
  </si>
  <si>
    <t>ITEM DESCRIPTION/         SPECIFICATION</t>
  </si>
  <si>
    <t>Last Purchase</t>
  </si>
  <si>
    <t>Current Purchase</t>
  </si>
  <si>
    <t>REMARKS</t>
  </si>
  <si>
    <t>ITEM DESCRIPTION</t>
  </si>
  <si>
    <t>DUE DATE</t>
  </si>
  <si>
    <t>Date</t>
  </si>
  <si>
    <t>Qty</t>
  </si>
  <si>
    <t>Unit Price</t>
  </si>
  <si>
    <t>RFS Status:</t>
  </si>
  <si>
    <t>Complete</t>
  </si>
  <si>
    <t>On Time</t>
  </si>
  <si>
    <t>Late</t>
  </si>
  <si>
    <t>Incomplete</t>
  </si>
  <si>
    <t>MODE OF REQUEST:</t>
  </si>
  <si>
    <t>EMERGENCY</t>
  </si>
  <si>
    <t>(1-2 days)</t>
  </si>
  <si>
    <t>Requested By:</t>
  </si>
  <si>
    <t>Verified By:</t>
  </si>
  <si>
    <t>Approved By:</t>
  </si>
  <si>
    <t>URGENT</t>
  </si>
  <si>
    <t>(4-5 days)</t>
  </si>
  <si>
    <t>REGULAR/ROUTINE</t>
  </si>
  <si>
    <t>(5-7 days)</t>
  </si>
  <si>
    <t>IRREGULAR</t>
  </si>
  <si>
    <t>(7-10 days)</t>
  </si>
  <si>
    <t>Name/Signature/Date</t>
  </si>
  <si>
    <t>Department Head</t>
  </si>
  <si>
    <r>
      <rPr>
        <b/>
        <i/>
        <sz val="7"/>
        <color rgb="FFFF0000"/>
        <rFont val="Arial"/>
        <family val="2"/>
      </rPr>
      <t xml:space="preserve">NOTE: Kindly state complete item description   </t>
    </r>
    <r>
      <rPr>
        <b/>
        <i/>
        <sz val="7"/>
        <rFont val="Arial"/>
        <family val="2"/>
      </rPr>
      <t xml:space="preserve">                                                         </t>
    </r>
  </si>
  <si>
    <t>Technical Sr. Supervisor</t>
  </si>
  <si>
    <t>…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</si>
  <si>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{{RFS_NO}}</t>
  </si>
  <si>
    <t>{{CONTROL_NO}}</t>
  </si>
  <si>
    <t>{{REQUEST_DATE}}</t>
  </si>
  <si>
    <t>{{RECEIVED_DATE}}</t>
  </si>
  <si>
    <t>{{DEPARTMENT}}</t>
  </si>
  <si>
    <t>{{QTY}}</t>
  </si>
  <si>
    <t>{{UNIT}}</t>
  </si>
  <si>
    <t>{{ITEM_DESCRIPTION}}</t>
  </si>
  <si>
    <t>{{REMARKS}}</t>
  </si>
  <si>
    <t>PURPOSE: {{PURPOSE}}</t>
  </si>
  <si>
    <t>{{REQUESTED_BY}}</t>
  </si>
  <si>
    <t>{{VERIFIED_BY}}</t>
  </si>
  <si>
    <t>{{APPROVED_BY}}</t>
  </si>
  <si>
    <t>Southcoast Metal Enterprise,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</si>
</sst>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3409]dd\-mmm\-yy;@"/>
    <numFmt numFmtId="165" formatCode="mm/dd/yy;@"/>
    <numFmt numFmtId="166" formatCode="&quot;₱&quot;#,##0.00"/>
    <numFmt numFmtId="167" formatCode="m/d/yy;@"/>
  </numFmts>
  <fonts count="27">
    <font>
      <sz val="10"/>
      <name val="Arial"/>
      <charset val="134"/>
    </font>
    <font>
      <b/>
      <sz val="1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15"/>
      <name val="Arial"/>
      <family val="2"/>
    </font>
    <font>
      <b/>
      <sz val="9"/>
      <name val="Arial"/>
      <family val="2"/>
    </font>
    <font>
      <b/>
      <sz val="10"/>
      <color rgb="FFFF0000"/>
      <name val="Arial"/>
      <family val="2"/>
    </font>
    <font>
      <sz val="9"/>
      <name val="Arial"/>
      <family val="2"/>
    </font>
    <font>
      <sz val="10"/>
      <color theme="0" tint="-0.34998626667073579"/>
      <name val="Arial"/>
      <family val="2"/>
    </font>
    <font>
      <b/>
      <sz val="8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b/>
      <sz val="7.5"/>
      <name val="Arial"/>
      <family val="2"/>
    </font>
    <font>
      <b/>
      <sz val="12"/>
      <name val="Arial"/>
      <family val="2"/>
    </font>
    <font>
      <b/>
      <i/>
      <sz val="7"/>
      <name val="Arial"/>
      <family val="2"/>
    </font>
    <font>
      <i/>
      <sz val="7"/>
      <name val="Arial"/>
      <family val="2"/>
    </font>
    <font>
      <sz val="8"/>
      <color rgb="FFFF0000"/>
      <name val="Arial"/>
      <family val="2"/>
    </font>
    <font>
      <b/>
      <i/>
      <sz val="7"/>
      <color rgb="FFFF0000"/>
      <name val="Arial"/>
      <family val="2"/>
    </font>
    <font>
      <sz val="10"/>
      <color theme="1"/>
      <name val="Arial"/>
      <family val="2"/>
    </font>
    <font>
      <sz val="7"/>
      <name val="Arial Nova"/>
      <family val="2"/>
    </font>
    <font>
      <sz val="7"/>
      <name val="Calibri"/>
      <family val="2"/>
      <scheme val="minor"/>
    </font>
    <font>
      <b/>
      <sz val="6"/>
      <name val="Arial Nova"/>
      <family val="2"/>
    </font>
    <font>
      <b/>
      <sz val="18"/>
      <name val="Tahoma"/>
      <family val="2"/>
    </font>
    <font>
      <sz val="1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4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3" fillId="0" borderId="5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8" xfId="0" applyFont="1" applyBorder="1"/>
    <xf numFmtId="0" fontId="3" fillId="0" borderId="11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5" xfId="0" applyFont="1" applyBorder="1"/>
    <xf numFmtId="0" fontId="3" fillId="0" borderId="18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3" fillId="0" borderId="18" xfId="0" applyFont="1" applyBorder="1" applyAlignment="1">
      <alignment horizontal="center" vertical="center"/>
    </xf>
    <xf numFmtId="0" fontId="3" fillId="0" borderId="21" xfId="0" applyFont="1" applyBorder="1"/>
    <xf numFmtId="0" fontId="10" fillId="0" borderId="8" xfId="0" applyFont="1" applyBorder="1"/>
    <xf numFmtId="0" fontId="10" fillId="0" borderId="0" xfId="0" applyFont="1"/>
    <xf numFmtId="0" fontId="3" fillId="0" borderId="0" xfId="0" applyFont="1" applyAlignment="1">
      <alignment horizontal="center"/>
    </xf>
    <xf numFmtId="0" fontId="2" fillId="0" borderId="8" xfId="0" applyFont="1" applyBorder="1" applyAlignment="1">
      <alignment horizontal="center" vertical="center"/>
    </xf>
    <xf numFmtId="2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11" fillId="0" borderId="0" xfId="0" applyFont="1"/>
    <xf numFmtId="22" fontId="11" fillId="0" borderId="0" xfId="0" applyNumberFormat="1" applyFont="1"/>
    <xf numFmtId="0" fontId="3" fillId="0" borderId="8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center"/>
    </xf>
    <xf numFmtId="0" fontId="3" fillId="0" borderId="0" xfId="0" applyFont="1" applyAlignment="1">
      <alignment horizontal="left" vertical="top" wrapText="1"/>
    </xf>
    <xf numFmtId="0" fontId="3" fillId="0" borderId="21" xfId="0" applyFont="1" applyBorder="1" applyAlignment="1">
      <alignment horizontal="left" vertical="top" wrapText="1"/>
    </xf>
    <xf numFmtId="0" fontId="12" fillId="0" borderId="8" xfId="0" applyFont="1" applyBorder="1"/>
    <xf numFmtId="0" fontId="13" fillId="0" borderId="0" xfId="0" applyFont="1"/>
    <xf numFmtId="0" fontId="12" fillId="0" borderId="0" xfId="0" applyFont="1"/>
    <xf numFmtId="0" fontId="14" fillId="0" borderId="8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3" fillId="0" borderId="24" xfId="0" applyFont="1" applyBorder="1"/>
    <xf numFmtId="0" fontId="14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57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2" fillId="0" borderId="24" xfId="0" applyFont="1" applyBorder="1" applyAlignment="1">
      <alignment vertical="center"/>
    </xf>
    <xf numFmtId="0" fontId="3" fillId="0" borderId="24" xfId="0" applyFont="1" applyBorder="1"/>
    <xf numFmtId="0" fontId="1" fillId="0" borderId="24" xfId="0" applyFont="1" applyBorder="1"/>
    <xf numFmtId="0" fontId="12" fillId="0" borderId="0" xfId="0" applyFont="1" applyAlignment="1">
      <alignment horizontal="left"/>
    </xf>
    <xf numFmtId="0" fontId="15" fillId="0" borderId="0" xfId="0" applyFont="1"/>
    <xf numFmtId="0" fontId="15" fillId="0" borderId="21" xfId="0" applyFont="1" applyBorder="1"/>
    <xf numFmtId="0" fontId="4" fillId="0" borderId="0" xfId="0" applyFont="1"/>
    <xf numFmtId="0" fontId="16" fillId="0" borderId="0" xfId="0" applyFont="1"/>
    <xf numFmtId="0" fontId="3" fillId="0" borderId="57" xfId="0" applyFont="1" applyBorder="1"/>
    <xf numFmtId="0" fontId="14" fillId="0" borderId="14" xfId="0" applyFont="1" applyBorder="1" applyAlignment="1">
      <alignment horizontal="center" vertical="center"/>
    </xf>
    <xf numFmtId="0" fontId="3" fillId="0" borderId="33" xfId="0" applyFont="1" applyBorder="1"/>
    <xf numFmtId="0" fontId="4" fillId="0" borderId="24" xfId="0" applyFont="1" applyBorder="1"/>
    <xf numFmtId="0" fontId="12" fillId="0" borderId="24" xfId="0" applyFont="1" applyBorder="1"/>
    <xf numFmtId="0" fontId="3" fillId="0" borderId="34" xfId="0" applyFont="1" applyBorder="1"/>
    <xf numFmtId="0" fontId="3" fillId="0" borderId="37" xfId="0" applyFont="1" applyBorder="1"/>
    <xf numFmtId="0" fontId="12" fillId="0" borderId="0" xfId="0" applyFont="1" applyAlignment="1">
      <alignment horizontal="center"/>
    </xf>
    <xf numFmtId="0" fontId="13" fillId="0" borderId="0" xfId="0" applyFont="1" applyAlignment="1">
      <alignment vertical="center"/>
    </xf>
    <xf numFmtId="0" fontId="13" fillId="0" borderId="58" xfId="0" applyFont="1" applyBorder="1"/>
    <xf numFmtId="0" fontId="13" fillId="0" borderId="35" xfId="0" applyFont="1" applyBorder="1"/>
    <xf numFmtId="0" fontId="13" fillId="0" borderId="15" xfId="0" applyFont="1" applyBorder="1"/>
    <xf numFmtId="0" fontId="14" fillId="0" borderId="15" xfId="0" applyFont="1" applyBorder="1"/>
    <xf numFmtId="0" fontId="13" fillId="0" borderId="23" xfId="0" applyFont="1" applyBorder="1"/>
    <xf numFmtId="0" fontId="5" fillId="0" borderId="0" xfId="0" applyFont="1" applyAlignment="1">
      <alignment vertical="center"/>
    </xf>
    <xf numFmtId="0" fontId="19" fillId="0" borderId="0" xfId="0" applyFont="1"/>
    <xf numFmtId="164" fontId="2" fillId="0" borderId="0" xfId="0" quotePrefix="1" applyNumberFormat="1" applyFont="1" applyAlignment="1">
      <alignment horizontal="center" vertical="center"/>
    </xf>
    <xf numFmtId="0" fontId="21" fillId="0" borderId="37" xfId="0" applyFont="1" applyBorder="1"/>
    <xf numFmtId="0" fontId="21" fillId="3" borderId="37" xfId="0" applyFont="1" applyFill="1" applyBorder="1"/>
    <xf numFmtId="0" fontId="3" fillId="2" borderId="37" xfId="0" applyFont="1" applyFill="1" applyBorder="1"/>
    <xf numFmtId="0" fontId="25" fillId="0" borderId="1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0" borderId="21" xfId="0" applyFont="1" applyBorder="1" applyAlignment="1">
      <alignment horizontal="center" vertical="center" wrapText="1"/>
    </xf>
    <xf numFmtId="0" fontId="26" fillId="0" borderId="14" xfId="0" applyFont="1" applyBorder="1" applyAlignment="1">
      <alignment horizontal="center" vertical="center" wrapText="1"/>
    </xf>
    <xf numFmtId="0" fontId="26" fillId="0" borderId="15" xfId="0" applyFont="1" applyBorder="1" applyAlignment="1">
      <alignment horizontal="center" vertical="center" wrapText="1"/>
    </xf>
    <xf numFmtId="0" fontId="26" fillId="0" borderId="23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left" vertical="center"/>
    </xf>
    <xf numFmtId="0" fontId="8" fillId="0" borderId="17" xfId="0" applyFont="1" applyBorder="1" applyAlignment="1">
      <alignment horizontal="left" vertical="center"/>
    </xf>
    <xf numFmtId="0" fontId="1" fillId="0" borderId="55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164" fontId="3" fillId="0" borderId="24" xfId="0" applyNumberFormat="1" applyFont="1" applyBorder="1" applyAlignment="1">
      <alignment horizontal="center"/>
    </xf>
    <xf numFmtId="164" fontId="3" fillId="0" borderId="24" xfId="0" quotePrefix="1" applyNumberFormat="1" applyFont="1" applyBorder="1" applyAlignment="1">
      <alignment horizontal="center"/>
    </xf>
    <xf numFmtId="164" fontId="3" fillId="2" borderId="25" xfId="0" applyNumberFormat="1" applyFont="1" applyFill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8" fillId="0" borderId="31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4" fillId="0" borderId="3" xfId="0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9" xfId="0" applyFont="1" applyBorder="1" applyAlignment="1" applyProtection="1">
      <alignment horizontal="left" vertical="center"/>
      <protection locked="0"/>
    </xf>
    <xf numFmtId="0" fontId="4" fillId="0" borderId="10" xfId="0" applyFont="1" applyBorder="1" applyAlignment="1" applyProtection="1">
      <alignment horizontal="left" vertical="center"/>
      <protection locked="0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4" fillId="0" borderId="16" xfId="0" applyFont="1" applyBorder="1" applyAlignment="1" applyProtection="1">
      <alignment horizontal="left" vertical="center"/>
      <protection locked="0"/>
    </xf>
    <xf numFmtId="0" fontId="4" fillId="0" borderId="17" xfId="0" applyFont="1" applyBorder="1" applyAlignment="1" applyProtection="1">
      <alignment horizontal="left" vertical="center"/>
      <protection locked="0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8" fillId="0" borderId="8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" fillId="0" borderId="29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0" fillId="0" borderId="36" xfId="0" applyFont="1" applyBorder="1" applyAlignment="1">
      <alignment horizontal="center" vertical="center" wrapText="1"/>
    </xf>
    <xf numFmtId="0" fontId="10" fillId="0" borderId="37" xfId="0" applyFont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 wrapText="1"/>
    </xf>
    <xf numFmtId="0" fontId="10" fillId="0" borderId="45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0" fillId="0" borderId="46" xfId="0" applyFont="1" applyBorder="1" applyAlignment="1">
      <alignment horizontal="center" vertical="center"/>
    </xf>
    <xf numFmtId="0" fontId="23" fillId="0" borderId="45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46" xfId="0" applyFont="1" applyBorder="1" applyAlignment="1">
      <alignment horizontal="center" vertical="center"/>
    </xf>
    <xf numFmtId="165" fontId="4" fillId="0" borderId="39" xfId="0" applyNumberFormat="1" applyFont="1" applyBorder="1" applyAlignment="1">
      <alignment horizontal="center"/>
    </xf>
    <xf numFmtId="165" fontId="4" fillId="0" borderId="40" xfId="0" applyNumberFormat="1" applyFont="1" applyBorder="1" applyAlignment="1">
      <alignment horizontal="center"/>
    </xf>
    <xf numFmtId="2" fontId="4" fillId="0" borderId="40" xfId="0" applyNumberFormat="1" applyFont="1" applyBorder="1" applyAlignment="1">
      <alignment horizontal="center"/>
    </xf>
    <xf numFmtId="166" fontId="4" fillId="0" borderId="40" xfId="0" applyNumberFormat="1" applyFont="1" applyBorder="1" applyAlignment="1">
      <alignment horizontal="center"/>
    </xf>
    <xf numFmtId="166" fontId="4" fillId="0" borderId="41" xfId="0" applyNumberFormat="1" applyFont="1" applyBorder="1" applyAlignment="1">
      <alignment horizontal="center"/>
    </xf>
    <xf numFmtId="165" fontId="4" fillId="0" borderId="45" xfId="0" applyNumberFormat="1" applyFont="1" applyBorder="1" applyAlignment="1">
      <alignment horizontal="center"/>
    </xf>
    <xf numFmtId="165" fontId="4" fillId="0" borderId="25" xfId="0" applyNumberFormat="1" applyFont="1" applyBorder="1" applyAlignment="1">
      <alignment horizontal="center"/>
    </xf>
    <xf numFmtId="165" fontId="4" fillId="0" borderId="47" xfId="0" applyNumberFormat="1" applyFont="1" applyBorder="1" applyAlignment="1">
      <alignment horizontal="center"/>
    </xf>
    <xf numFmtId="2" fontId="4" fillId="0" borderId="48" xfId="0" applyNumberFormat="1" applyFont="1" applyBorder="1" applyAlignment="1">
      <alignment horizontal="center"/>
    </xf>
    <xf numFmtId="2" fontId="4" fillId="0" borderId="25" xfId="0" applyNumberFormat="1" applyFont="1" applyBorder="1" applyAlignment="1">
      <alignment horizontal="center"/>
    </xf>
    <xf numFmtId="2" fontId="4" fillId="0" borderId="47" xfId="0" applyNumberFormat="1" applyFont="1" applyBorder="1" applyAlignment="1">
      <alignment horizontal="center"/>
    </xf>
    <xf numFmtId="166" fontId="4" fillId="0" borderId="48" xfId="0" applyNumberFormat="1" applyFont="1" applyBorder="1" applyAlignment="1">
      <alignment horizontal="center"/>
    </xf>
    <xf numFmtId="166" fontId="4" fillId="0" borderId="25" xfId="0" applyNumberFormat="1" applyFont="1" applyBorder="1" applyAlignment="1">
      <alignment horizontal="center"/>
    </xf>
    <xf numFmtId="166" fontId="4" fillId="0" borderId="46" xfId="0" applyNumberFormat="1" applyFont="1" applyBorder="1" applyAlignment="1">
      <alignment horizontal="center"/>
    </xf>
    <xf numFmtId="167" fontId="13" fillId="0" borderId="48" xfId="0" applyNumberFormat="1" applyFont="1" applyBorder="1" applyAlignment="1">
      <alignment horizontal="center"/>
    </xf>
    <xf numFmtId="167" fontId="13" fillId="0" borderId="25" xfId="0" applyNumberFormat="1" applyFont="1" applyBorder="1" applyAlignment="1">
      <alignment horizontal="center"/>
    </xf>
    <xf numFmtId="167" fontId="13" fillId="0" borderId="47" xfId="0" applyNumberFormat="1" applyFont="1" applyBorder="1" applyAlignment="1">
      <alignment horizontal="center"/>
    </xf>
    <xf numFmtId="0" fontId="10" fillId="0" borderId="25" xfId="0" applyFont="1" applyBorder="1" applyAlignment="1">
      <alignment vertical="center" wrapText="1"/>
    </xf>
    <xf numFmtId="0" fontId="10" fillId="0" borderId="46" xfId="0" applyFont="1" applyBorder="1" applyAlignment="1">
      <alignment vertical="center" wrapText="1"/>
    </xf>
    <xf numFmtId="0" fontId="10" fillId="0" borderId="45" xfId="0" applyFont="1" applyBorder="1"/>
    <xf numFmtId="0" fontId="10" fillId="0" borderId="25" xfId="0" applyFont="1" applyBorder="1"/>
    <xf numFmtId="0" fontId="10" fillId="0" borderId="46" xfId="0" applyFont="1" applyBorder="1"/>
    <xf numFmtId="0" fontId="10" fillId="0" borderId="45" xfId="0" applyFont="1" applyBorder="1" applyAlignment="1">
      <alignment vertical="center" wrapText="1"/>
    </xf>
    <xf numFmtId="0" fontId="3" fillId="0" borderId="45" xfId="0" applyFont="1" applyBorder="1"/>
    <xf numFmtId="0" fontId="3" fillId="0" borderId="25" xfId="0" applyFont="1" applyBorder="1"/>
    <xf numFmtId="0" fontId="3" fillId="0" borderId="46" xfId="0" applyFont="1" applyBorder="1"/>
    <xf numFmtId="0" fontId="10" fillId="0" borderId="36" xfId="0" applyFont="1" applyBorder="1" applyAlignment="1">
      <alignment horizontal="left" vertical="top" wrapText="1"/>
    </xf>
    <xf numFmtId="0" fontId="10" fillId="0" borderId="37" xfId="0" applyFont="1" applyBorder="1" applyAlignment="1">
      <alignment horizontal="left" vertical="top" wrapText="1"/>
    </xf>
    <xf numFmtId="0" fontId="10" fillId="0" borderId="49" xfId="0" applyFont="1" applyBorder="1" applyAlignment="1">
      <alignment horizontal="left" vertical="top" wrapText="1"/>
    </xf>
    <xf numFmtId="0" fontId="10" fillId="0" borderId="45" xfId="0" applyFont="1" applyBorder="1" applyAlignment="1">
      <alignment horizontal="left" vertical="top" wrapText="1"/>
    </xf>
    <xf numFmtId="0" fontId="10" fillId="0" borderId="25" xfId="0" applyFont="1" applyBorder="1" applyAlignment="1">
      <alignment horizontal="left" vertical="top" wrapText="1"/>
    </xf>
    <xf numFmtId="0" fontId="10" fillId="0" borderId="46" xfId="0" applyFont="1" applyBorder="1" applyAlignment="1">
      <alignment horizontal="left" vertical="top" wrapText="1"/>
    </xf>
    <xf numFmtId="0" fontId="10" fillId="0" borderId="25" xfId="0" applyFont="1" applyBorder="1" applyAlignment="1">
      <alignment horizontal="center" vertical="center"/>
    </xf>
    <xf numFmtId="0" fontId="10" fillId="0" borderId="36" xfId="0" applyFont="1" applyBorder="1" applyAlignment="1">
      <alignment vertical="top" wrapText="1"/>
    </xf>
    <xf numFmtId="0" fontId="10" fillId="0" borderId="37" xfId="0" applyFont="1" applyBorder="1" applyAlignment="1">
      <alignment vertical="top" wrapText="1"/>
    </xf>
    <xf numFmtId="0" fontId="10" fillId="0" borderId="38" xfId="0" applyFont="1" applyBorder="1" applyAlignment="1">
      <alignment vertical="top" wrapText="1"/>
    </xf>
    <xf numFmtId="0" fontId="3" fillId="0" borderId="36" xfId="0" applyFont="1" applyBorder="1" applyAlignment="1">
      <alignment horizontal="left" vertical="top" wrapText="1"/>
    </xf>
    <xf numFmtId="0" fontId="3" fillId="0" borderId="37" xfId="0" applyFont="1" applyBorder="1" applyAlignment="1">
      <alignment horizontal="left" vertical="top" wrapText="1"/>
    </xf>
    <xf numFmtId="0" fontId="3" fillId="0" borderId="49" xfId="0" applyFont="1" applyBorder="1" applyAlignment="1">
      <alignment horizontal="left" vertical="top" wrapText="1"/>
    </xf>
    <xf numFmtId="0" fontId="10" fillId="0" borderId="36" xfId="0" applyFont="1" applyBorder="1" applyAlignment="1">
      <alignment vertical="top"/>
    </xf>
    <xf numFmtId="0" fontId="10" fillId="0" borderId="37" xfId="0" applyFont="1" applyBorder="1" applyAlignment="1">
      <alignment vertical="top"/>
    </xf>
    <xf numFmtId="0" fontId="10" fillId="0" borderId="38" xfId="0" applyFont="1" applyBorder="1" applyAlignment="1">
      <alignment vertical="top"/>
    </xf>
    <xf numFmtId="2" fontId="4" fillId="0" borderId="52" xfId="0" applyNumberFormat="1" applyFont="1" applyBorder="1" applyAlignment="1">
      <alignment horizontal="center"/>
    </xf>
    <xf numFmtId="166" fontId="4" fillId="0" borderId="52" xfId="0" applyNumberFormat="1" applyFont="1" applyBorder="1" applyAlignment="1">
      <alignment horizontal="center"/>
    </xf>
    <xf numFmtId="166" fontId="4" fillId="0" borderId="54" xfId="0" applyNumberFormat="1" applyFont="1" applyBorder="1" applyAlignment="1">
      <alignment horizontal="center"/>
    </xf>
    <xf numFmtId="0" fontId="3" fillId="0" borderId="50" xfId="0" applyFont="1" applyBorder="1" applyAlignment="1">
      <alignment horizontal="left" vertical="top" wrapText="1"/>
    </xf>
    <xf numFmtId="0" fontId="3" fillId="0" borderId="55" xfId="0" applyFont="1" applyBorder="1" applyAlignment="1">
      <alignment horizontal="left" vertical="top" wrapText="1"/>
    </xf>
    <xf numFmtId="0" fontId="3" fillId="0" borderId="56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15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14" fillId="0" borderId="24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57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0" fillId="0" borderId="14" xfId="0" applyFont="1" applyBorder="1" applyAlignment="1">
      <alignment horizontal="center"/>
    </xf>
    <xf numFmtId="0" fontId="10" fillId="0" borderId="50" xfId="0" applyFont="1" applyBorder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61" xfId="0" applyFont="1" applyBorder="1" applyAlignment="1">
      <alignment vertical="center"/>
    </xf>
    <xf numFmtId="0" fontId="10" fillId="0" borderId="62" xfId="0" applyFont="1" applyBorder="1" applyAlignment="1">
      <alignment vertical="center"/>
    </xf>
    <xf numFmtId="0" fontId="10" fillId="0" borderId="63" xfId="0" applyFont="1" applyBorder="1" applyAlignment="1">
      <alignment vertical="center"/>
    </xf>
    <xf numFmtId="165" fontId="4" fillId="0" borderId="51" xfId="0" applyNumberFormat="1" applyFont="1" applyBorder="1" applyAlignment="1">
      <alignment horizontal="center"/>
    </xf>
    <xf numFmtId="165" fontId="4" fillId="0" borderId="52" xfId="0" applyNumberFormat="1" applyFont="1" applyBorder="1" applyAlignment="1">
      <alignment horizontal="center"/>
    </xf>
    <xf numFmtId="0" fontId="24" fillId="0" borderId="60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12" fillId="0" borderId="57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21" xfId="0" applyFont="1" applyBorder="1" applyAlignment="1">
      <alignment horizontal="left" vertical="top" wrapText="1"/>
    </xf>
    <xf numFmtId="0" fontId="12" fillId="0" borderId="58" xfId="0" applyFont="1" applyBorder="1" applyAlignment="1">
      <alignment horizontal="left" vertical="top" wrapText="1"/>
    </xf>
    <xf numFmtId="0" fontId="12" fillId="0" borderId="24" xfId="0" applyFont="1" applyBorder="1" applyAlignment="1">
      <alignment horizontal="left" vertical="top" wrapText="1"/>
    </xf>
    <xf numFmtId="0" fontId="12" fillId="0" borderId="35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7" fillId="0" borderId="0" xfId="0" applyFont="1" applyAlignment="1">
      <alignment horizontal="right"/>
    </xf>
    <xf numFmtId="0" fontId="18" fillId="0" borderId="0" xfId="0" applyFont="1" applyAlignment="1">
      <alignment horizontal="right"/>
    </xf>
    <xf numFmtId="0" fontId="13" fillId="0" borderId="33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/>
    </xf>
    <xf numFmtId="0" fontId="13" fillId="0" borderId="24" xfId="0" applyFont="1" applyBorder="1" applyAlignment="1">
      <alignment horizontal="center"/>
    </xf>
    <xf numFmtId="0" fontId="14" fillId="0" borderId="59" xfId="0" applyFont="1" applyBorder="1" applyAlignment="1">
      <alignment horizontal="center" vertical="center"/>
    </xf>
    <xf numFmtId="0" fontId="14" fillId="0" borderId="6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66" fontId="4" fillId="0" borderId="53" xfId="0" applyNumberFormat="1" applyFont="1" applyBorder="1" applyAlignment="1">
      <alignment horizontal="center"/>
    </xf>
    <xf numFmtId="166" fontId="4" fillId="0" borderId="15" xfId="0" applyNumberFormat="1" applyFont="1" applyBorder="1" applyAlignment="1">
      <alignment horizontal="center"/>
    </xf>
    <xf numFmtId="166" fontId="4" fillId="0" borderId="2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73</xdr:col>
      <xdr:colOff>26504</xdr:colOff>
      <xdr:row>13</xdr:row>
      <xdr:rowOff>36963</xdr:rowOff>
    </xdr:from>
    <xdr:to>
      <xdr:col>115</xdr:col>
      <xdr:colOff>46952</xdr:colOff>
      <xdr:row>15</xdr:row>
      <xdr:rowOff>146343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>
        <a:xfrm>
          <a:off x="7898295" y="1819380"/>
          <a:ext cx="4751474" cy="427433"/>
        </a:xfrm>
        <a:prstGeom prst="rect">
          <a:avLst/>
        </a:prstGeom>
        <a:noFill/>
        <a:ln>
          <a:noFill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>
            <a:lnSpc>
              <a:spcPts val="1500"/>
            </a:lnSpc>
          </a:pPr>
          <a:endParaRPr lang="en-PH" sz="1800">
            <a:effectLst/>
          </a:endParaRPr>
        </a:p>
      </xdr:txBody>
    </xdr:sp>
    <xdr:clientData/>
  </xdr:twoCellAnchor>
  <xdr:twoCellAnchor>
    <xdr:from>
      <xdr:col>11</xdr:col>
      <xdr:colOff>29224</xdr:colOff>
      <xdr:row>25</xdr:row>
      <xdr:rowOff>27060</xdr:rowOff>
    </xdr:from>
    <xdr:to>
      <xdr:col>11</xdr:col>
      <xdr:colOff>178052</xdr:colOff>
      <xdr:row>25</xdr:row>
      <xdr:rowOff>147205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738215" y="3625025"/>
          <a:ext cx="148828" cy="120145"/>
        </a:xfrm>
        <a:prstGeom prst="rect">
          <a:avLst/>
        </a:prstGeom>
        <a:noFill/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20</xdr:col>
      <xdr:colOff>8442</xdr:colOff>
      <xdr:row>25</xdr:row>
      <xdr:rowOff>22913</xdr:rowOff>
    </xdr:from>
    <xdr:to>
      <xdr:col>21</xdr:col>
      <xdr:colOff>44702</xdr:colOff>
      <xdr:row>25</xdr:row>
      <xdr:rowOff>143058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903730" y="3639185"/>
          <a:ext cx="150495" cy="120015"/>
        </a:xfrm>
        <a:prstGeom prst="rect">
          <a:avLst/>
        </a:prstGeom>
        <a:noFill/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28</xdr:col>
      <xdr:colOff>108888</xdr:colOff>
      <xdr:row>25</xdr:row>
      <xdr:rowOff>23779</xdr:rowOff>
    </xdr:from>
    <xdr:to>
      <xdr:col>30</xdr:col>
      <xdr:colOff>32580</xdr:colOff>
      <xdr:row>25</xdr:row>
      <xdr:rowOff>143924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647950" y="3639820"/>
          <a:ext cx="146685" cy="120015"/>
        </a:xfrm>
        <a:prstGeom prst="rect">
          <a:avLst/>
        </a:prstGeom>
        <a:noFill/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11</xdr:col>
      <xdr:colOff>31731</xdr:colOff>
      <xdr:row>26</xdr:row>
      <xdr:rowOff>17945</xdr:rowOff>
    </xdr:from>
    <xdr:to>
      <xdr:col>11</xdr:col>
      <xdr:colOff>180559</xdr:colOff>
      <xdr:row>26</xdr:row>
      <xdr:rowOff>138090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726440" y="3805555"/>
          <a:ext cx="149225" cy="120015"/>
        </a:xfrm>
        <a:prstGeom prst="rect">
          <a:avLst/>
        </a:prstGeom>
        <a:noFill/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les-april\SALES%20MATTERS\NEW%20SMEI%20PURCHASING%20SYSTEM\RFS_PO%20TEMPLATES\REFERENCE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ei-purchasing\rfs%202023%20templates\REFEREN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PLIERS"/>
      <sheetName val="CATEGORY"/>
      <sheetName val="EMPLOYEES"/>
      <sheetName val="DEPT"/>
      <sheetName val="EXPENSE"/>
      <sheetName val="STATUS"/>
      <sheetName val="tax"/>
      <sheetName val="REFERENCES"/>
    </sheetNames>
    <definedNames>
      <definedName name="DEPT"/>
      <definedName name="EMPLOYEES" refersTo="='EMPLOYEES'!$B:$B"/>
    </definedNames>
    <sheetDataSet>
      <sheetData sheetId="0">
        <row r="1">
          <cell r="B1" t="str">
            <v>CONTACT PERSON</v>
          </cell>
        </row>
      </sheetData>
      <sheetData sheetId="1"/>
      <sheetData sheetId="2">
        <row r="1">
          <cell r="B1" t="str">
            <v>EMPLOYEE NAME</v>
          </cell>
        </row>
      </sheetData>
      <sheetData sheetId="3"/>
      <sheetData sheetId="4"/>
      <sheetData sheetId="5">
        <row r="34">
          <cell r="B34" t="str">
            <v xml:space="preserve"> </v>
          </cell>
        </row>
      </sheetData>
      <sheetData sheetId="6">
        <row r="3">
          <cell r="B3" t="str">
            <v>USE IF ITEM IS ALREADY PURCHASED WITHOUT 2307</v>
          </cell>
        </row>
      </sheetData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PLIERS"/>
      <sheetName val="CATEGORY"/>
      <sheetName val="EMPLOYEES"/>
      <sheetName val="EXPENSE"/>
      <sheetName val="STATUS"/>
      <sheetName val="tax"/>
      <sheetName val="REFERENCES"/>
    </sheetNames>
    <definedNames>
      <definedName name="EXPENSE" refersTo="='EXPENSE'!$A:$A"/>
      <definedName name="VEHICLE"/>
    </definedNames>
    <sheetDataSet>
      <sheetData sheetId="0">
        <row r="1">
          <cell r="A1" t="str">
            <v>SUPPLIER</v>
          </cell>
        </row>
        <row r="2">
          <cell r="A2" t="str">
            <v>ZENGLIU GENERAL MERCHANDISE</v>
          </cell>
        </row>
        <row r="3">
          <cell r="A3" t="str">
            <v>YUASA TRADING (PHILIPPINES), INC.</v>
          </cell>
        </row>
        <row r="4">
          <cell r="A4" t="str">
            <v>YALE HARDWARE CORPORATION</v>
          </cell>
        </row>
        <row r="5">
          <cell r="A5" t="str">
            <v>XNS COMPUTER CENTER</v>
          </cell>
        </row>
        <row r="6">
          <cell r="A6" t="str">
            <v>WILCON DEPOT, INC.</v>
          </cell>
        </row>
        <row r="7">
          <cell r="A7" t="str">
            <v>WEST TO EAST ENGINEERING SUPPLY &amp; SERVICES</v>
          </cell>
        </row>
        <row r="8">
          <cell r="A8" t="str">
            <v>WEIGHLYNX  SYSTEMS SPECIALISTS CORP.</v>
          </cell>
        </row>
        <row r="9">
          <cell r="A9" t="str">
            <v>WATSONS (FAMILY HEALTH &amp; BEAUTY CORP.)</v>
          </cell>
        </row>
        <row r="10">
          <cell r="A10" t="str">
            <v>WALTERMART SUPERMARKET INC. (IMUS)</v>
          </cell>
        </row>
        <row r="11">
          <cell r="A11" t="str">
            <v>WALTERMART SUPERMARKET INC. (GEN. TRIAS)</v>
          </cell>
        </row>
        <row r="12">
          <cell r="A12" t="str">
            <v>WALSI WATER STATION</v>
          </cell>
        </row>
        <row r="13">
          <cell r="A13" t="str">
            <v>VOLTAJE LIGHTING OUTLET</v>
          </cell>
        </row>
        <row r="14">
          <cell r="A14" t="str">
            <v>V. MORGA'S PRINT WORKS</v>
          </cell>
        </row>
        <row r="15">
          <cell r="A15" t="str">
            <v>UNITED POWER HARDWARE &amp; CONSTRUCTION CO., INC.</v>
          </cell>
        </row>
        <row r="16">
          <cell r="A16" t="str">
            <v>UNISIM CCTV &amp; ELECTRONICS SUPPLY</v>
          </cell>
        </row>
        <row r="17">
          <cell r="A17" t="str">
            <v xml:space="preserve">UNIMAC TRADING </v>
          </cell>
        </row>
        <row r="18">
          <cell r="A18" t="str">
            <v>TRUE VALUE HARDWARE PHILS. INC.</v>
          </cell>
        </row>
        <row r="19">
          <cell r="A19" t="str">
            <v>TRIPLE 21 ENTERPRISES</v>
          </cell>
        </row>
        <row r="20">
          <cell r="A20" t="str">
            <v>TRADERS INDUSTRIAL SUPPLY CO., INC</v>
          </cell>
        </row>
        <row r="21">
          <cell r="A21" t="str">
            <v>TOYOTA DASMARIÑAS-CAVITE</v>
          </cell>
        </row>
        <row r="22">
          <cell r="A22" t="str">
            <v>TON-EZA MACHINE SHOP</v>
          </cell>
        </row>
        <row r="23">
          <cell r="A23" t="str">
            <v>TGM TRADING</v>
          </cell>
        </row>
        <row r="24">
          <cell r="A24" t="str">
            <v>TFT TELECOM</v>
          </cell>
        </row>
        <row r="25">
          <cell r="A25" t="str">
            <v>TENKEI PRIME INTL CORP.</v>
          </cell>
        </row>
        <row r="26">
          <cell r="A26" t="str">
            <v>TEJERO TIRES &amp; AUTO REPAIR SERVICE CENTER</v>
          </cell>
        </row>
        <row r="27">
          <cell r="A27" t="str">
            <v>TECHNOKIT</v>
          </cell>
        </row>
        <row r="28">
          <cell r="A28" t="str">
            <v>SYMHONAS ENTERPRISES, INC.</v>
          </cell>
        </row>
        <row r="29">
          <cell r="A29" t="str">
            <v>STRONGHOLD INSURANCE COMPANY INCORPORATED</v>
          </cell>
        </row>
        <row r="30">
          <cell r="A30" t="str">
            <v>STRONG MOTO CENTRUM, INC</v>
          </cell>
        </row>
        <row r="31">
          <cell r="A31" t="str">
            <v xml:space="preserve">STARFLEX MARKETING </v>
          </cell>
        </row>
        <row r="32">
          <cell r="A32" t="str">
            <v>STANDARD APPLIANCES CORPORATION</v>
          </cell>
        </row>
        <row r="33">
          <cell r="A33" t="str">
            <v>ST. DOMINIC MEDICAL CENTER</v>
          </cell>
        </row>
        <row r="34">
          <cell r="A34" t="str">
            <v>ST. AGUSTINE LUMBER &amp; GENERAL MERCHANDISE</v>
          </cell>
        </row>
        <row r="35">
          <cell r="A35" t="str">
            <v>SSMC SATELLITE HOSPITAL - ROSARIO BRANCH</v>
          </cell>
        </row>
        <row r="36">
          <cell r="A36" t="str">
            <v>SOUTHERN COMMERCIAL</v>
          </cell>
        </row>
        <row r="37">
          <cell r="A37" t="str">
            <v>SMART UP MARKETING CORP</v>
          </cell>
        </row>
        <row r="38">
          <cell r="A38" t="str">
            <v>SMART COMMUNICATIONS</v>
          </cell>
        </row>
        <row r="39">
          <cell r="A39" t="str">
            <v>SM SUPERMARKET</v>
          </cell>
        </row>
        <row r="40">
          <cell r="A40" t="str">
            <v>SM STORE ROSARIO</v>
          </cell>
        </row>
        <row r="41">
          <cell r="A41" t="str">
            <v>SKYKING SHOPPING CENTER INC.</v>
          </cell>
        </row>
        <row r="42">
          <cell r="A42" t="str">
            <v xml:space="preserve">SHOPEE </v>
          </cell>
        </row>
        <row r="43">
          <cell r="A43" t="str">
            <v>SHEN YEE METAL CORPORATION</v>
          </cell>
        </row>
        <row r="44">
          <cell r="A44" t="str">
            <v>SHEMA EMISSION TESTING CENTER, INC. - BRANCH</v>
          </cell>
        </row>
        <row r="45">
          <cell r="A45" t="str">
            <v>SEVENGEN CELLPHONE ACCESSORIES AND REPAIR SERVICES</v>
          </cell>
        </row>
        <row r="46">
          <cell r="A46" t="str">
            <v>SEVEN ARCH ANGELS MOTOR VEHICLES INSPECTION CENTER</v>
          </cell>
        </row>
        <row r="47">
          <cell r="A47" t="str">
            <v xml:space="preserve">SERT TECHNOLOGY INC. </v>
          </cell>
        </row>
        <row r="48">
          <cell r="A48" t="str">
            <v xml:space="preserve">SCREWMART TRADING </v>
          </cell>
        </row>
        <row r="49">
          <cell r="A49" t="str">
            <v>SAVEMORE BACAO</v>
          </cell>
        </row>
        <row r="50">
          <cell r="A50" t="str">
            <v xml:space="preserve">SAMSUNG </v>
          </cell>
        </row>
        <row r="51">
          <cell r="A51" t="str">
            <v>SALINAS PLAZA CONSTRUCTION SUPPLY</v>
          </cell>
        </row>
        <row r="52">
          <cell r="A52" t="str">
            <v>SAFETYWELL MARKETING INCORPORATED</v>
          </cell>
        </row>
        <row r="53">
          <cell r="A53" t="str">
            <v>SABON STATION</v>
          </cell>
        </row>
        <row r="54">
          <cell r="A54" t="str">
            <v>RUSTAN COMMERCIAL CORP</v>
          </cell>
        </row>
        <row r="55">
          <cell r="A55" t="str">
            <v>ROYAL DUTY FREE SHOP, INC.</v>
          </cell>
        </row>
        <row r="56">
          <cell r="A56" t="str">
            <v>RONELLE HYDRAULIC HOSE AND AUTO SUPPLY</v>
          </cell>
        </row>
        <row r="57">
          <cell r="A57" t="str">
            <v>RONEL S. QUIZON</v>
          </cell>
        </row>
        <row r="58">
          <cell r="A58" t="str">
            <v>ROMEO LISING</v>
          </cell>
        </row>
        <row r="59">
          <cell r="A59" t="str">
            <v>RODELIO REYES</v>
          </cell>
        </row>
        <row r="60">
          <cell r="A60" t="str">
            <v>RNINE TRANSPORT</v>
          </cell>
        </row>
        <row r="61">
          <cell r="A61" t="str">
            <v>RICOH (PHILIPPINES), INC.</v>
          </cell>
        </row>
        <row r="62">
          <cell r="A62" t="str">
            <v>RENATO C. GARDOSE</v>
          </cell>
        </row>
        <row r="63">
          <cell r="A63" t="str">
            <v>RELJ AIRCON SUPPLY AND SERVICES</v>
          </cell>
        </row>
        <row r="64">
          <cell r="A64" t="str">
            <v>RCBC ROSARIO</v>
          </cell>
        </row>
        <row r="65">
          <cell r="A65" t="str">
            <v xml:space="preserve">R. BALIGUAT ENTERPRISES </v>
          </cell>
        </row>
        <row r="66">
          <cell r="A66" t="str">
            <v>QUIANA INDUSTRIAL SALES CORP.</v>
          </cell>
        </row>
        <row r="67">
          <cell r="A67" t="str">
            <v>Q33 GENERAL MERCHANDISE</v>
          </cell>
        </row>
        <row r="68">
          <cell r="A68" t="str">
            <v>PUREGOLD PRICE CLUB INC.</v>
          </cell>
        </row>
        <row r="69">
          <cell r="A69" t="str">
            <v xml:space="preserve">PTO-BALANGA </v>
          </cell>
        </row>
        <row r="70">
          <cell r="A70" t="str">
            <v>PROVINCE OF CAVITE</v>
          </cell>
        </row>
        <row r="71">
          <cell r="A71" t="str">
            <v>PRIME STEVE BALERO</v>
          </cell>
        </row>
        <row r="72">
          <cell r="A72" t="str">
            <v>PRIMA CARE MEDICAL LABORATORY &amp; POLYCLINIC</v>
          </cell>
        </row>
        <row r="73">
          <cell r="A73" t="str">
            <v xml:space="preserve">PRECISE EQUIPMENT TESTING AND SERVICES, INC. </v>
          </cell>
        </row>
        <row r="74">
          <cell r="A74" t="str">
            <v>POWERTECHNIC LIGHTNING INC.</v>
          </cell>
        </row>
        <row r="75">
          <cell r="A75" t="str">
            <v>PJ PEST CONTROL SERVICES</v>
          </cell>
        </row>
        <row r="76">
          <cell r="A76" t="str">
            <v>PHILIPPINE GEOANALYTICS</v>
          </cell>
        </row>
        <row r="77">
          <cell r="A77" t="str">
            <v>PHILIPPINE ECONOMIC ZONE AUTHORITY</v>
          </cell>
        </row>
        <row r="78">
          <cell r="A78" t="str">
            <v>PHIL FOAM FURNISHING INDUSTRIES INC</v>
          </cell>
        </row>
        <row r="79">
          <cell r="A79" t="str">
            <v>PEZA ( EHSD DEPARTMENT )</v>
          </cell>
        </row>
        <row r="80">
          <cell r="A80" t="str">
            <v>PETRON TRI GEN VENTURE ENTERPRISES INC.</v>
          </cell>
        </row>
        <row r="81">
          <cell r="A81" t="str">
            <v>PEDRO ELECTRICAL SHOP</v>
          </cell>
        </row>
        <row r="82">
          <cell r="A82" t="str">
            <v xml:space="preserve">PAYMAYA </v>
          </cell>
        </row>
        <row r="83">
          <cell r="A83" t="str">
            <v>P.Y.M. GENERAL UPHOLSTERY</v>
          </cell>
        </row>
        <row r="84">
          <cell r="A84" t="str">
            <v>OUR HOME</v>
          </cell>
        </row>
        <row r="85">
          <cell r="A85" t="str">
            <v>OPTIMUM EMISSION TESTING CENTER</v>
          </cell>
        </row>
        <row r="86">
          <cell r="A86" t="str">
            <v>OPPO Store SM Rosario</v>
          </cell>
        </row>
        <row r="87">
          <cell r="A87" t="str">
            <v>ONE TIME SHOP</v>
          </cell>
        </row>
        <row r="88">
          <cell r="A88" t="str">
            <v>ONE STOP MART INC.</v>
          </cell>
        </row>
        <row r="89">
          <cell r="A89" t="str">
            <v>OMCY DRESS SHOP</v>
          </cell>
        </row>
        <row r="90">
          <cell r="A90" t="str">
            <v>OFFICE SCHOOL SUPPLIES SUPERSTORE, INC.</v>
          </cell>
        </row>
        <row r="91">
          <cell r="A91" t="str">
            <v>OCTAGON COMPUTER SUPERSTORE</v>
          </cell>
        </row>
        <row r="92">
          <cell r="A92" t="str">
            <v>O.C. BARAL GENERAL MERCHANDISE</v>
          </cell>
        </row>
        <row r="93">
          <cell r="A93" t="str">
            <v>Note: Blue, Non VAT</v>
          </cell>
        </row>
        <row r="94">
          <cell r="A94" t="str">
            <v>NNBL TRUCKING SERVICES</v>
          </cell>
        </row>
        <row r="95">
          <cell r="A95" t="str">
            <v>NFF PACKAGING SOLUTIONS CORP</v>
          </cell>
        </row>
        <row r="96">
          <cell r="A96" t="str">
            <v>NEW TANZA HARDWARE &amp; GENERAL MERCHANDISE</v>
          </cell>
        </row>
        <row r="97">
          <cell r="A97" t="str">
            <v>NEW JABONGA HARDWARE</v>
          </cell>
        </row>
        <row r="98">
          <cell r="A98" t="str">
            <v>NATIONAL BOOK STORE - SM TRECE</v>
          </cell>
        </row>
        <row r="99">
          <cell r="A99" t="str">
            <v>NAIC EMISSION TESTING CENTER-CAVITE</v>
          </cell>
        </row>
        <row r="100">
          <cell r="A100" t="str">
            <v>N. AYROSO TOWING SERVICES</v>
          </cell>
        </row>
        <row r="101">
          <cell r="A101" t="str">
            <v>MZQ TRADING</v>
          </cell>
        </row>
        <row r="102">
          <cell r="A102" t="str">
            <v>MWL BUILD CONSTRUCTION SUPPLIES WHOLESALING</v>
          </cell>
        </row>
        <row r="103">
          <cell r="A103" t="str">
            <v>MUSTARD SEED SYSTEMS CORPORATION</v>
          </cell>
        </row>
        <row r="104">
          <cell r="A104" t="str">
            <v>MR. RENATO C. GARDOSE</v>
          </cell>
        </row>
        <row r="105">
          <cell r="A105" t="str">
            <v>MR. ALVIN BALATEÑIA</v>
          </cell>
        </row>
        <row r="106">
          <cell r="A106" t="str">
            <v>MOTOR KING AUTO CENTER</v>
          </cell>
        </row>
        <row r="107">
          <cell r="A107" t="str">
            <v>MOTO MASTERS CORPORATION</v>
          </cell>
        </row>
        <row r="108">
          <cell r="A108" t="str">
            <v>MOKO FASHION BOUTIQUE</v>
          </cell>
        </row>
        <row r="109">
          <cell r="A109" t="str">
            <v>MOFO AND OS ENTERPRISES</v>
          </cell>
        </row>
        <row r="110">
          <cell r="A110" t="str">
            <v>MMP AWARDS SPECIALIST</v>
          </cell>
        </row>
        <row r="111">
          <cell r="A111" t="str">
            <v>ML6 ELECTRONIC PARTS AND ACCESSORIES TRADING</v>
          </cell>
        </row>
        <row r="112">
          <cell r="A112" t="str">
            <v xml:space="preserve">MJJ EMISSION TESTING CENTER </v>
          </cell>
        </row>
        <row r="113">
          <cell r="A113" t="str">
            <v>MINTEX INDUSTRIAL SUPPLY</v>
          </cell>
        </row>
        <row r="114">
          <cell r="A114" t="str">
            <v>MILLENIUM TORCH ENTERPRISE</v>
          </cell>
        </row>
        <row r="115">
          <cell r="A115" t="str">
            <v>MIA'S TRADING</v>
          </cell>
        </row>
        <row r="116">
          <cell r="A116" t="str">
            <v>MHBK CAR CARE CENTER</v>
          </cell>
        </row>
        <row r="117">
          <cell r="A117" t="str">
            <v>METRO SAFE AND VAULT MANUFACTURING CORPORATION</v>
          </cell>
        </row>
        <row r="118">
          <cell r="A118" t="str">
            <v>MERCURY DRUG CORPORATION</v>
          </cell>
        </row>
        <row r="119">
          <cell r="A119" t="str">
            <v>MEGA PACIFIC STAINLESS TRADING CO.</v>
          </cell>
        </row>
        <row r="120">
          <cell r="A120" t="str">
            <v>MEDICARD</v>
          </cell>
        </row>
        <row r="121">
          <cell r="A121" t="str">
            <v>MC CLEAN STORE</v>
          </cell>
        </row>
        <row r="122">
          <cell r="A122" t="str">
            <v>MARVICRIS AUTO SUPPLY</v>
          </cell>
        </row>
        <row r="123">
          <cell r="A123" t="str">
            <v>MARTCOM CELLULAR &amp; ELECTRONICS CENTER</v>
          </cell>
        </row>
        <row r="124">
          <cell r="A124" t="str">
            <v>MARSAM GENERAL MERCHANDISE</v>
          </cell>
        </row>
        <row r="125">
          <cell r="A125" t="str">
            <v>MARCJAN CAVITE ENTERPRISES</v>
          </cell>
        </row>
        <row r="126">
          <cell r="A126" t="str">
            <v>MAORGADEVAUGHN INTERNATIONAL CORPORATION</v>
          </cell>
        </row>
        <row r="127">
          <cell r="A127" t="str">
            <v>MANGGAHAN WELDING SHOP &amp; MOTOR SHOP</v>
          </cell>
        </row>
        <row r="128">
          <cell r="A128" t="str">
            <v>MAGNACYCLE SALES CORP</v>
          </cell>
        </row>
        <row r="129">
          <cell r="A129" t="str">
            <v>MACRO MACHINERY &amp; INDUSTRIAL SUPPLY CORPORATION</v>
          </cell>
        </row>
        <row r="130">
          <cell r="A130" t="str">
            <v>MACH UNION WATER LABORATORY, INC.</v>
          </cell>
        </row>
        <row r="131">
          <cell r="A131" t="str">
            <v>MACDESIGN HOME SYSTEM CORPORATION</v>
          </cell>
        </row>
        <row r="132">
          <cell r="A132" t="str">
            <v>M-5 GENERAL MERCHANDISE</v>
          </cell>
        </row>
        <row r="133">
          <cell r="A133" t="str">
            <v>LTO NAIC EXTENSION OFFICE</v>
          </cell>
        </row>
        <row r="134">
          <cell r="A134" t="str">
            <v>LTO LAS PIÑAS OFFICE</v>
          </cell>
        </row>
        <row r="135">
          <cell r="A135" t="str">
            <v>LTO KAWIT DISTRICT OFFICE</v>
          </cell>
        </row>
        <row r="136">
          <cell r="A136" t="str">
            <v xml:space="preserve">LOVICS MARKETING </v>
          </cell>
        </row>
        <row r="137">
          <cell r="A137" t="str">
            <v>LJCB PHILIPPINES INCORPORATED</v>
          </cell>
        </row>
        <row r="138">
          <cell r="A138" t="str">
            <v>LITZ TOWING SERVICES</v>
          </cell>
        </row>
        <row r="139">
          <cell r="A139" t="str">
            <v>LITTLE TOWN</v>
          </cell>
        </row>
        <row r="140">
          <cell r="A140" t="str">
            <v>LISP-II LOCATOR'S ASSOCIATION, INC.</v>
          </cell>
        </row>
        <row r="141">
          <cell r="A141" t="str">
            <v>LIMARC AUTO SUPPLY</v>
          </cell>
        </row>
        <row r="142">
          <cell r="A142" t="str">
            <v>LIFEGEN LABORATORY &amp; DIAGNOSTIC CENTER</v>
          </cell>
        </row>
        <row r="143">
          <cell r="A143" t="str">
            <v>LAZADA</v>
          </cell>
        </row>
        <row r="144">
          <cell r="A144" t="str">
            <v>LARA COFFEE POWDER TRADING</v>
          </cell>
        </row>
        <row r="145">
          <cell r="A145" t="str">
            <v>L.Y.S. HARDWARE &amp; INDUSTRIAL SALES INC.</v>
          </cell>
        </row>
        <row r="146">
          <cell r="A146" t="str">
            <v>L &amp; R S AMBATA GASOLINE STATION CO.</v>
          </cell>
        </row>
        <row r="147">
          <cell r="A147" t="str">
            <v>L &amp; D MOTORS</v>
          </cell>
        </row>
        <row r="148">
          <cell r="A148" t="str">
            <v>KOHSEI MULTIPACK PHILIPPINES INC.</v>
          </cell>
        </row>
        <row r="149">
          <cell r="A149" t="str">
            <v>KKOFFICE.PH</v>
          </cell>
        </row>
        <row r="150">
          <cell r="A150" t="str">
            <v>KINGVISH HYDRAULIC TRADING</v>
          </cell>
        </row>
        <row r="151">
          <cell r="A151" t="str">
            <v>K-ELM QUALITY-DASHCAM CAR ACCESSORIES SHOP</v>
          </cell>
        </row>
        <row r="152">
          <cell r="A152" t="str">
            <v>JZB VULCANIZING SHOP</v>
          </cell>
        </row>
        <row r="153">
          <cell r="A153" t="str">
            <v>JUNEAU INDUSTRIAL CORP.</v>
          </cell>
        </row>
        <row r="154">
          <cell r="A154" t="str">
            <v>JOSEPHINE PANAMBO FASHION DESIGN  GENTRI</v>
          </cell>
        </row>
        <row r="155">
          <cell r="A155" t="str">
            <v>JOREM WATCH REPAIR &amp; DUPLICATE</v>
          </cell>
        </row>
        <row r="156">
          <cell r="A156" t="str">
            <v>JONTRIX TRADING</v>
          </cell>
        </row>
        <row r="157">
          <cell r="A157" t="str">
            <v>JOHANN ELECTRONICS CENTER</v>
          </cell>
        </row>
        <row r="158">
          <cell r="A158" t="str">
            <v>JOEL VULCANIZING SHOP</v>
          </cell>
        </row>
        <row r="159">
          <cell r="A159" t="str">
            <v>JM'S WATCH TRADING AND SERVICES CORP.</v>
          </cell>
        </row>
        <row r="160">
          <cell r="A160" t="str">
            <v>JEVERPS MANUFACTURING CORPORATION</v>
          </cell>
        </row>
        <row r="161">
          <cell r="A161" t="str">
            <v>JESSICA O.</v>
          </cell>
        </row>
        <row r="162">
          <cell r="A162" t="str">
            <v>JEHO ELECTRONICS ELECTRICAL SUPPLY</v>
          </cell>
        </row>
        <row r="163">
          <cell r="A163" t="str">
            <v>JDB DECAL LINES CUSTOMIZED STICKER</v>
          </cell>
        </row>
        <row r="164">
          <cell r="A164" t="str">
            <v>JCC GEN.MERCHANDISE</v>
          </cell>
        </row>
        <row r="165">
          <cell r="A165" t="str">
            <v>JB COLORS  SALES &amp; GEN. MDSE.</v>
          </cell>
        </row>
        <row r="166">
          <cell r="A166" t="str">
            <v>JAMGASCO-NOVELETA</v>
          </cell>
        </row>
        <row r="167">
          <cell r="A167" t="str">
            <v>JABEZ MOTOR CORPORATION</v>
          </cell>
        </row>
        <row r="168">
          <cell r="A168" t="str">
            <v>INGCO MANGGAHAN</v>
          </cell>
        </row>
        <row r="169">
          <cell r="A169" t="str">
            <v>INDAY VARIETIES STORE</v>
          </cell>
        </row>
        <row r="170">
          <cell r="A170" t="str">
            <v>INCREASAVE</v>
          </cell>
        </row>
        <row r="171">
          <cell r="A171" t="str">
            <v xml:space="preserve">HYDROLIKO ENTERPRISES INC. </v>
          </cell>
        </row>
        <row r="172">
          <cell r="A172" t="str">
            <v>HONDA CARS ALABANG</v>
          </cell>
        </row>
        <row r="173">
          <cell r="A173" t="str">
            <v>HIMOKOTO SHOP</v>
          </cell>
        </row>
        <row r="174">
          <cell r="A174" t="str">
            <v>HELEN CURTAINS AND BLINDS</v>
          </cell>
        </row>
        <row r="175">
          <cell r="A175" t="str">
            <v xml:space="preserve">HARTFORD GENERAL MERCHANDISE </v>
          </cell>
        </row>
        <row r="176">
          <cell r="A176" t="str">
            <v>HAPPY GO SHOPPING CENTER INC.</v>
          </cell>
        </row>
        <row r="177">
          <cell r="A177" t="str">
            <v>HANDYMAN INC.</v>
          </cell>
        </row>
        <row r="178">
          <cell r="A178" t="str">
            <v>GREENTAB STORE SM Rosario</v>
          </cell>
        </row>
        <row r="179">
          <cell r="A179" t="str">
            <v>GRAND SEHONG HARDWARE CORPORATION</v>
          </cell>
        </row>
        <row r="180">
          <cell r="A180" t="str">
            <v>GOLD JADE LIGHTING &amp; DECO</v>
          </cell>
        </row>
        <row r="181">
          <cell r="A181" t="str">
            <v>GLOBE TELECOMMUNICATIONS</v>
          </cell>
        </row>
        <row r="182">
          <cell r="A182" t="str">
            <v>GLOBAL MOCOM TRANSCENDING INC</v>
          </cell>
        </row>
        <row r="183">
          <cell r="A183" t="str">
            <v>GENERIK NAH BOTIKA SA BAGTAS</v>
          </cell>
        </row>
        <row r="184">
          <cell r="A184" t="str">
            <v>GDB BLUE PRINTING SERVICES</v>
          </cell>
        </row>
        <row r="185">
          <cell r="A185" t="str">
            <v>GCOMSYS ENTERPRISE</v>
          </cell>
        </row>
        <row r="186">
          <cell r="A186" t="str">
            <v xml:space="preserve">GCASH </v>
          </cell>
        </row>
        <row r="187">
          <cell r="A187" t="str">
            <v>FORTUNEKING HYPERMARKET, INC.</v>
          </cell>
        </row>
        <row r="188">
          <cell r="A188" t="str">
            <v>FLOREE STORE</v>
          </cell>
        </row>
        <row r="189">
          <cell r="A189" t="str">
            <v>FISHERMEN'S CENTER HARDWARE CORPORATION</v>
          </cell>
        </row>
        <row r="190">
          <cell r="A190" t="str">
            <v>FIRST PHILIPPINE INDUSTRIAL PARK</v>
          </cell>
        </row>
        <row r="191">
          <cell r="A191" t="str">
            <v>FIRST METRO GAS INCORPORATED</v>
          </cell>
        </row>
        <row r="192">
          <cell r="A192" t="str">
            <v>FIRST CARE MEDICAL SERVICES</v>
          </cell>
        </row>
        <row r="193">
          <cell r="A193" t="str">
            <v>FERNANDEZ CJN JUNKSHOP-NOVELETA</v>
          </cell>
        </row>
        <row r="194">
          <cell r="A194" t="str">
            <v>FAMOUS AWESOME BRAND COMPANY INC.</v>
          </cell>
        </row>
        <row r="195">
          <cell r="A195" t="str">
            <v>FAITH GLORY MARKETING</v>
          </cell>
        </row>
        <row r="196">
          <cell r="A196" t="str">
            <v>ESPHAR MEDICAL CENTER , INC.</v>
          </cell>
        </row>
        <row r="197">
          <cell r="A197" t="str">
            <v>ENCARNACION MENDOZA FUEL RETAIL CORP</v>
          </cell>
        </row>
        <row r="198">
          <cell r="A198" t="str">
            <v>ELY MONTERO</v>
          </cell>
        </row>
        <row r="199">
          <cell r="A199" t="str">
            <v>ELLE SEE AIRCONDITIONING SERVICES</v>
          </cell>
        </row>
        <row r="200">
          <cell r="A200" t="str">
            <v>EINSTEIN AUTO AND MOTORCYCLE PARTS TRADING SUPPLY</v>
          </cell>
        </row>
        <row r="201">
          <cell r="A201" t="str">
            <v>EINSTEIN - 2 AUTO SUPPLY A&amp; GENERAL MERCHANDISE</v>
          </cell>
        </row>
        <row r="202">
          <cell r="A202" t="str">
            <v>EDSUN ELECTRICAL CONTROL SUPPLY</v>
          </cell>
        </row>
        <row r="203">
          <cell r="A203" t="str">
            <v>EDEL'S VULCANIZING &amp; RADIATOR SHOP</v>
          </cell>
        </row>
        <row r="204">
          <cell r="A204" t="str">
            <v>ECOSHIFT CORPORATION</v>
          </cell>
        </row>
        <row r="205">
          <cell r="A205" t="str">
            <v>E.O. MORATILLO RADIATOR REPAIR SHOP</v>
          </cell>
        </row>
        <row r="206">
          <cell r="A206" t="str">
            <v>DTS TRADING &amp; REF/AIRCON SERVICES</v>
          </cell>
        </row>
        <row r="207">
          <cell r="A207" t="str">
            <v>DRAGONBEST CARGO CORP.</v>
          </cell>
        </row>
        <row r="208">
          <cell r="A208" t="str">
            <v>DOYDOY MACHINE SHOP</v>
          </cell>
        </row>
        <row r="209">
          <cell r="A209" t="str">
            <v>DML SUBIC FREEPORT CORP.</v>
          </cell>
        </row>
        <row r="210">
          <cell r="A210" t="str">
            <v>DIMMONIAN'S CUSTOM DECAL PRINTING SHOP</v>
          </cell>
        </row>
        <row r="211">
          <cell r="A211" t="str">
            <v>DIMMO GRAFIX</v>
          </cell>
        </row>
        <row r="212">
          <cell r="A212" t="str">
            <v>DIAMOND EMISSION TESTING CENTER-BRANCH</v>
          </cell>
        </row>
        <row r="213">
          <cell r="A213" t="str">
            <v>DHOM-SHOP SAMJNUEH TRADING</v>
          </cell>
        </row>
        <row r="214">
          <cell r="A214" t="str">
            <v>DHENISSA PRINTING SERVICES</v>
          </cell>
        </row>
        <row r="215">
          <cell r="A215" t="str">
            <v>DENNIS BALLOONS AND PARTY SERVICES</v>
          </cell>
        </row>
        <row r="216">
          <cell r="A216" t="str">
            <v>DEE HWA LIONG ELECT. EQUIPMENT CORP.</v>
          </cell>
        </row>
        <row r="217">
          <cell r="A217" t="str">
            <v>DADAN BATTERY CENTER</v>
          </cell>
        </row>
        <row r="218">
          <cell r="A218" t="str">
            <v>DASMARIÑAS ISUZU PARTS CENTER</v>
          </cell>
        </row>
        <row r="219">
          <cell r="A219" t="str">
            <v>D' GREAT GOLDRICH INDUSTRIAL SALES CORP.</v>
          </cell>
        </row>
        <row r="220">
          <cell r="A220" t="str">
            <v>CUBELO LABORATORY &amp; DIAGNOSTIC CENTER</v>
          </cell>
        </row>
        <row r="221">
          <cell r="A221" t="str">
            <v>CSV ENTERPRISES</v>
          </cell>
        </row>
        <row r="222">
          <cell r="A222" t="str">
            <v>CRL CALABARQUEZ  CORPORATION</v>
          </cell>
        </row>
        <row r="223">
          <cell r="A223" t="str">
            <v>CPA NG BAYAN</v>
          </cell>
        </row>
        <row r="224">
          <cell r="A224" t="str">
            <v>COSMOTECH PHILIPPINES, INC.</v>
          </cell>
        </row>
        <row r="225">
          <cell r="A225" t="str">
            <v>COOL SPORTY MOTORCYCLE PARTS &amp; ACCESSORIES</v>
          </cell>
        </row>
        <row r="226">
          <cell r="A226" t="str">
            <v>CONCORDE ROSARIO</v>
          </cell>
        </row>
        <row r="227">
          <cell r="A227" t="str">
            <v>COMGLASCO AGUILA GLASS</v>
          </cell>
        </row>
        <row r="228">
          <cell r="A228" t="str">
            <v>COMPLINK MARKETING INC.</v>
          </cell>
        </row>
        <row r="229">
          <cell r="A229" t="str">
            <v>COMBASE IT SOLUTIONS</v>
          </cell>
        </row>
        <row r="230">
          <cell r="A230" t="str">
            <v>COLOR SOLUTIONS</v>
          </cell>
        </row>
        <row r="231">
          <cell r="A231" t="str">
            <v>COLOR MARMALADE</v>
          </cell>
        </row>
        <row r="232">
          <cell r="A232" t="str">
            <v xml:space="preserve">CLK SUPERTOOLS DEPOT INC. </v>
          </cell>
        </row>
        <row r="233">
          <cell r="A233" t="str">
            <v>CITY WATER PURIFICATION SYSTEM</v>
          </cell>
        </row>
        <row r="234">
          <cell r="A234" t="str">
            <v xml:space="preserve">CHRISTCA PRINTING PRESS &amp; GENERAL MERCHANDISE </v>
          </cell>
        </row>
        <row r="235">
          <cell r="A235" t="str">
            <v>CERTIFIED PROFESSIONAL ASSISTANT NG BAYAN CO.</v>
          </cell>
        </row>
        <row r="236">
          <cell r="A236" t="str">
            <v>CAFÉ AMADEO DEVELOPMENT COOPERATIVE</v>
          </cell>
        </row>
        <row r="237">
          <cell r="A237" t="str">
            <v>C.M.A. AUTO ELECTRICAL SHOP</v>
          </cell>
        </row>
        <row r="238">
          <cell r="A238" t="str">
            <v>BUYER'S CHOICE GENERAL MERCHANDISE</v>
          </cell>
        </row>
        <row r="239">
          <cell r="A239" t="str">
            <v>BUREAU OF CUSTOM</v>
          </cell>
        </row>
        <row r="240">
          <cell r="A240" t="str">
            <v>BROOKSBROTHER HEAVY LIFT &amp; TRANSPORT SERVICES</v>
          </cell>
        </row>
        <row r="241">
          <cell r="A241" t="str">
            <v>BOYET BRINGINO VULCANIZING SHOP</v>
          </cell>
        </row>
        <row r="242">
          <cell r="A242" t="str">
            <v xml:space="preserve">BODEVERO INDUSTRIAL TRADING </v>
          </cell>
        </row>
        <row r="243">
          <cell r="A243" t="str">
            <v>BILLY JOEL APOSTOL</v>
          </cell>
        </row>
        <row r="244">
          <cell r="A244" t="str">
            <v>BFFHAI</v>
          </cell>
        </row>
        <row r="245">
          <cell r="A245" t="str">
            <v>BEST ENVIRONMENT &amp; TESTING CORP.</v>
          </cell>
        </row>
        <row r="246">
          <cell r="A246" t="str">
            <v>BENNETH MACHINERIES INC.</v>
          </cell>
        </row>
        <row r="247">
          <cell r="A247" t="str">
            <v>BC-MAN ENTERPRISES, INC.</v>
          </cell>
        </row>
        <row r="248">
          <cell r="A248" t="str">
            <v>AUTOLIFT TRADING AND SERVICES PHILS., INC.</v>
          </cell>
        </row>
        <row r="249">
          <cell r="A249" t="str">
            <v>ASUKI WEIGHING SYSTEM INC.</v>
          </cell>
        </row>
        <row r="250">
          <cell r="A250" t="str">
            <v>ASIA METAL TRADING CORP.</v>
          </cell>
        </row>
        <row r="251">
          <cell r="A251" t="str">
            <v>ANOBA, JAYNEL</v>
          </cell>
        </row>
        <row r="252">
          <cell r="A252" t="str">
            <v>ANMOL ELECTRONICS SHOP</v>
          </cell>
        </row>
        <row r="253">
          <cell r="A253" t="str">
            <v xml:space="preserve">ANIGO TRADING </v>
          </cell>
        </row>
        <row r="254">
          <cell r="A254" t="str">
            <v>AMHORIEZ 14 CELLPHONE REPAIR &amp; ACCESSORIES</v>
          </cell>
        </row>
        <row r="255">
          <cell r="A255" t="str">
            <v>AMBEN AUTO ELECTRICAL &amp; CAR AIRCONDITIONING SHOP</v>
          </cell>
        </row>
        <row r="256">
          <cell r="A256" t="str">
            <v>ALPHALITE FREIGHT ELEVATOR SERVICES</v>
          </cell>
        </row>
        <row r="257">
          <cell r="A257" t="str">
            <v>ALL FAST CAR SALES AND SERVICE CORPORATION</v>
          </cell>
        </row>
        <row r="258">
          <cell r="A258" t="str">
            <v>ALICOR EMISSION TEST CENTER CO., INC</v>
          </cell>
        </row>
        <row r="259">
          <cell r="A259" t="str">
            <v>AIRYX CAR PARTS CENTER</v>
          </cell>
        </row>
        <row r="260">
          <cell r="A260" t="str">
            <v>AIR GUARD EMISSION TESTING CENTER</v>
          </cell>
        </row>
        <row r="261">
          <cell r="A261" t="str">
            <v>AGF TIRE SUPPLY</v>
          </cell>
        </row>
        <row r="262">
          <cell r="A262" t="str">
            <v>ADI-ASIANIC DISTRIBUTORS INC.</v>
          </cell>
        </row>
        <row r="263">
          <cell r="A263" t="str">
            <v xml:space="preserve">ACE HARDWARE PHILIPPINES, INC. </v>
          </cell>
        </row>
        <row r="264">
          <cell r="A264" t="str">
            <v>AC STEELS WORKS</v>
          </cell>
        </row>
        <row r="265">
          <cell r="A265" t="str">
            <v>ABET</v>
          </cell>
        </row>
        <row r="266">
          <cell r="A266" t="str">
            <v>ABENSON PUREGOLD TANZA</v>
          </cell>
        </row>
        <row r="267">
          <cell r="A267" t="str">
            <v xml:space="preserve">7-ELEVEN </v>
          </cell>
        </row>
        <row r="268">
          <cell r="A268" t="str">
            <v>578 RESOURCES INC.</v>
          </cell>
        </row>
      </sheetData>
      <sheetData sheetId="1"/>
      <sheetData sheetId="2">
        <row r="1">
          <cell r="B1" t="str">
            <v>EMPLOYEE NAME</v>
          </cell>
        </row>
      </sheetData>
      <sheetData sheetId="3">
        <row r="1">
          <cell r="A1" t="str">
            <v>EXPENSE TYPE</v>
          </cell>
        </row>
      </sheetData>
      <sheetData sheetId="4">
        <row r="1">
          <cell r="A1" t="str">
            <v>PO STATUS</v>
          </cell>
        </row>
        <row r="3">
          <cell r="A3" t="str">
            <v>OPEN</v>
          </cell>
        </row>
        <row r="4">
          <cell r="A4" t="str">
            <v>ON PROCESS</v>
          </cell>
        </row>
        <row r="5">
          <cell r="A5" t="str">
            <v>PENDING</v>
          </cell>
        </row>
        <row r="6">
          <cell r="A6" t="str">
            <v>CANCELLED</v>
          </cell>
        </row>
        <row r="7">
          <cell r="A7" t="str">
            <v>CLOSED</v>
          </cell>
        </row>
      </sheetData>
      <sheetData sheetId="5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44"/>
  <sheetViews>
    <sheetView tabSelected="1" view="pageBreakPreview" topLeftCell="I2" zoomScale="85" zoomScaleNormal="115" zoomScaleSheetLayoutView="85" workbookViewId="0">
      <selection activeCell="CC12" sqref="CC12"/>
    </sheetView>
  </sheetViews>
  <sheetFormatPr defaultColWidth="1.6640625" defaultRowHeight="13.95" customHeight="1"/>
  <cols>
    <col min="1" max="1" width="7.33203125" style="2" hidden="1" customWidth="1"/>
    <col min="2" max="2" width="15.109375" style="2" hidden="1" customWidth="1"/>
    <col min="3" max="3" width="7.33203125" style="2" hidden="1" customWidth="1"/>
    <col min="4" max="8" width="7.33203125" style="3" hidden="1" customWidth="1"/>
    <col min="9" max="9" width="2.6640625" style="4" customWidth="1"/>
    <col min="10" max="10" width="3" style="4" customWidth="1"/>
    <col min="11" max="11" width="4.6640625" style="4" customWidth="1"/>
    <col min="12" max="12" width="3.5546875" style="4" customWidth="1"/>
    <col min="13" max="15" width="1.6640625" style="4"/>
    <col min="16" max="16" width="2.44140625" style="4" customWidth="1"/>
    <col min="17" max="24" width="1.6640625" style="4"/>
    <col min="25" max="25" width="1.5546875" style="4" customWidth="1"/>
    <col min="26" max="26" width="0.33203125" style="4" hidden="1" customWidth="1"/>
    <col min="27" max="27" width="0.33203125" style="4" customWidth="1"/>
    <col min="28" max="28" width="1.5546875" style="4" customWidth="1"/>
    <col min="29" max="29" width="1" style="4" customWidth="1"/>
    <col min="30" max="36" width="1.6640625" style="4"/>
    <col min="37" max="37" width="1.33203125" style="4" customWidth="1"/>
    <col min="38" max="40" width="1.6640625" style="4"/>
    <col min="41" max="41" width="4" style="4" customWidth="1"/>
    <col min="42" max="43" width="1.6640625" style="4"/>
    <col min="44" max="44" width="1.44140625" style="4" customWidth="1"/>
    <col min="45" max="47" width="1.6640625" style="4"/>
    <col min="48" max="48" width="1" style="4" customWidth="1"/>
    <col min="49" max="49" width="2" style="4" customWidth="1"/>
    <col min="50" max="51" width="1.6640625" style="4"/>
    <col min="52" max="52" width="1.6640625" style="4" customWidth="1"/>
    <col min="53" max="53" width="3.88671875" style="4" customWidth="1"/>
    <col min="54" max="62" width="1.6640625" style="4"/>
    <col min="63" max="63" width="1.6640625" style="4" customWidth="1"/>
    <col min="64" max="16384" width="1.6640625" style="4"/>
  </cols>
  <sheetData>
    <row r="1" spans="1:70" ht="12" customHeight="1">
      <c r="A1" s="5"/>
      <c r="B1" s="6"/>
      <c r="C1" s="6"/>
      <c r="D1" s="7"/>
      <c r="E1" s="7"/>
      <c r="F1" s="7"/>
      <c r="G1" s="7"/>
      <c r="H1" s="7"/>
      <c r="I1" s="76" t="s">
        <v>65</v>
      </c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8"/>
      <c r="AS1" s="100" t="s">
        <v>0</v>
      </c>
      <c r="AT1" s="101"/>
      <c r="AU1" s="101"/>
      <c r="AV1" s="101"/>
      <c r="AW1" s="101"/>
      <c r="AX1" s="101"/>
      <c r="AY1" s="101"/>
      <c r="AZ1" s="101"/>
      <c r="BA1" s="8" t="s">
        <v>1</v>
      </c>
      <c r="BB1" s="102" t="s">
        <v>52</v>
      </c>
      <c r="BC1" s="102"/>
      <c r="BD1" s="102"/>
      <c r="BE1" s="102"/>
      <c r="BF1" s="102"/>
      <c r="BG1" s="102"/>
      <c r="BH1" s="102"/>
      <c r="BI1" s="102"/>
      <c r="BJ1" s="102"/>
      <c r="BK1" s="103"/>
    </row>
    <row r="2" spans="1:70" ht="12" customHeight="1">
      <c r="A2" s="9"/>
      <c r="I2" s="79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1"/>
      <c r="AS2" s="104" t="s">
        <v>2</v>
      </c>
      <c r="AT2" s="105"/>
      <c r="AU2" s="105"/>
      <c r="AV2" s="105"/>
      <c r="AW2" s="105"/>
      <c r="AX2" s="105"/>
      <c r="AY2" s="105"/>
      <c r="AZ2" s="105"/>
      <c r="BA2" s="11" t="s">
        <v>1</v>
      </c>
      <c r="BB2" s="106"/>
      <c r="BC2" s="106"/>
      <c r="BD2" s="106"/>
      <c r="BE2" s="106"/>
      <c r="BF2" s="106"/>
      <c r="BG2" s="106"/>
      <c r="BH2" s="106"/>
      <c r="BI2" s="106"/>
      <c r="BJ2" s="106"/>
      <c r="BK2" s="107"/>
    </row>
    <row r="3" spans="1:70" ht="12" customHeight="1">
      <c r="A3" s="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1"/>
      <c r="AS3" s="104" t="s">
        <v>3</v>
      </c>
      <c r="AT3" s="105"/>
      <c r="AU3" s="105"/>
      <c r="AV3" s="105"/>
      <c r="AW3" s="105"/>
      <c r="AX3" s="105"/>
      <c r="AY3" s="105"/>
      <c r="AZ3" s="105"/>
      <c r="BA3" s="11" t="s">
        <v>1</v>
      </c>
      <c r="BB3" s="106"/>
      <c r="BC3" s="106"/>
      <c r="BD3" s="106"/>
      <c r="BE3" s="106"/>
      <c r="BF3" s="106"/>
      <c r="BG3" s="106"/>
      <c r="BH3" s="106"/>
      <c r="BI3" s="106"/>
      <c r="BJ3" s="106"/>
      <c r="BK3" s="107"/>
    </row>
    <row r="4" spans="1:70" ht="12" customHeight="1" thickBot="1">
      <c r="A4" s="12"/>
      <c r="B4" s="13"/>
      <c r="C4" s="13"/>
      <c r="D4" s="14"/>
      <c r="E4" s="14"/>
      <c r="F4" s="14"/>
      <c r="G4" s="14"/>
      <c r="H4" s="14"/>
      <c r="I4" s="82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4"/>
      <c r="AS4" s="108" t="s">
        <v>4</v>
      </c>
      <c r="AT4" s="109"/>
      <c r="AU4" s="109"/>
      <c r="AV4" s="109"/>
      <c r="AW4" s="109"/>
      <c r="AX4" s="109"/>
      <c r="AY4" s="109"/>
      <c r="AZ4" s="109"/>
      <c r="BA4" s="15" t="s">
        <v>1</v>
      </c>
      <c r="BB4" s="110"/>
      <c r="BC4" s="110"/>
      <c r="BD4" s="110"/>
      <c r="BE4" s="110"/>
      <c r="BF4" s="110"/>
      <c r="BG4" s="110"/>
      <c r="BH4" s="110"/>
      <c r="BI4" s="110"/>
      <c r="BJ4" s="110"/>
      <c r="BK4" s="111"/>
    </row>
    <row r="5" spans="1:70" ht="12" customHeight="1">
      <c r="A5" s="9"/>
      <c r="I5" s="205" t="s">
        <v>5</v>
      </c>
      <c r="J5" s="198"/>
      <c r="K5" s="198"/>
      <c r="L5" s="198"/>
      <c r="M5" s="198"/>
      <c r="N5" s="176" t="s">
        <v>1</v>
      </c>
      <c r="O5" s="208" t="s">
        <v>6</v>
      </c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  <c r="AA5" s="208"/>
      <c r="AB5" s="208"/>
      <c r="AC5" s="208"/>
      <c r="AD5" s="208"/>
      <c r="AE5" s="208"/>
      <c r="AF5" s="208"/>
      <c r="AG5" s="208"/>
      <c r="AH5" s="208"/>
      <c r="AI5" s="208"/>
      <c r="AJ5" s="208"/>
      <c r="AK5" s="208"/>
      <c r="AL5" s="208"/>
      <c r="AM5" s="208"/>
      <c r="AN5" s="208"/>
      <c r="AO5" s="208"/>
      <c r="AP5" s="208"/>
      <c r="AQ5" s="208"/>
      <c r="AR5" s="209"/>
      <c r="AS5" s="112" t="s">
        <v>7</v>
      </c>
      <c r="AT5" s="113"/>
      <c r="AU5" s="113"/>
      <c r="AV5" s="113"/>
      <c r="AW5" s="113"/>
      <c r="AX5" s="113"/>
      <c r="AY5" s="113"/>
      <c r="AZ5" s="113"/>
      <c r="BA5" s="16"/>
      <c r="BB5" s="114" t="s">
        <v>53</v>
      </c>
      <c r="BC5" s="114"/>
      <c r="BD5" s="114"/>
      <c r="BE5" s="114"/>
      <c r="BF5" s="114"/>
      <c r="BG5" s="114"/>
      <c r="BH5" s="114"/>
      <c r="BI5" s="114"/>
      <c r="BJ5" s="114"/>
      <c r="BK5" s="115"/>
    </row>
    <row r="6" spans="1:70" s="1" customFormat="1" ht="12" customHeight="1" thickBot="1">
      <c r="A6" s="17"/>
      <c r="B6" s="18"/>
      <c r="C6" s="18"/>
      <c r="D6" s="19"/>
      <c r="E6" s="19"/>
      <c r="F6" s="19"/>
      <c r="G6" s="19"/>
      <c r="H6" s="19"/>
      <c r="I6" s="206"/>
      <c r="J6" s="207"/>
      <c r="K6" s="207"/>
      <c r="L6" s="207"/>
      <c r="M6" s="207"/>
      <c r="N6" s="177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  <c r="AA6" s="210"/>
      <c r="AB6" s="210"/>
      <c r="AC6" s="210"/>
      <c r="AD6" s="210"/>
      <c r="AE6" s="210"/>
      <c r="AF6" s="210"/>
      <c r="AG6" s="210"/>
      <c r="AH6" s="210"/>
      <c r="AI6" s="210"/>
      <c r="AJ6" s="210"/>
      <c r="AK6" s="210"/>
      <c r="AL6" s="210"/>
      <c r="AM6" s="210"/>
      <c r="AN6" s="210"/>
      <c r="AO6" s="210"/>
      <c r="AP6" s="210"/>
      <c r="AQ6" s="210"/>
      <c r="AR6" s="211"/>
      <c r="AS6" s="85" t="s">
        <v>8</v>
      </c>
      <c r="AT6" s="86"/>
      <c r="AU6" s="86"/>
      <c r="AV6" s="86"/>
      <c r="AW6" s="86"/>
      <c r="AX6" s="86"/>
      <c r="AY6" s="86"/>
      <c r="AZ6" s="86"/>
      <c r="BA6" s="20" t="s">
        <v>1</v>
      </c>
      <c r="BB6" s="87"/>
      <c r="BC6" s="87"/>
      <c r="BD6" s="87"/>
      <c r="BE6" s="87"/>
      <c r="BF6" s="87"/>
      <c r="BG6" s="87"/>
      <c r="BH6" s="87"/>
      <c r="BI6" s="87"/>
      <c r="BJ6" s="87"/>
      <c r="BK6" s="88"/>
    </row>
    <row r="7" spans="1:70" ht="3.45" customHeight="1">
      <c r="A7" s="9"/>
      <c r="I7" s="10"/>
      <c r="BK7" s="21"/>
    </row>
    <row r="8" spans="1:70" ht="12.45" customHeight="1">
      <c r="A8" s="9"/>
      <c r="I8" s="22" t="s">
        <v>9</v>
      </c>
      <c r="S8" s="4" t="s">
        <v>1</v>
      </c>
      <c r="T8" s="89" t="s">
        <v>54</v>
      </c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P8" s="23" t="s">
        <v>10</v>
      </c>
      <c r="AV8" s="4" t="s">
        <v>1</v>
      </c>
      <c r="AW8" s="90"/>
      <c r="AX8" s="89"/>
      <c r="AY8" s="89"/>
      <c r="AZ8" s="89"/>
      <c r="BA8" s="89"/>
      <c r="BB8" s="89"/>
      <c r="BC8" s="89"/>
      <c r="BD8" s="89"/>
      <c r="BE8" s="89"/>
      <c r="BF8" s="89"/>
      <c r="BG8" s="89"/>
      <c r="BH8" s="89"/>
      <c r="BK8" s="21"/>
    </row>
    <row r="9" spans="1:70" ht="12.45" customHeight="1">
      <c r="A9" s="9"/>
      <c r="I9" s="22" t="s">
        <v>12</v>
      </c>
      <c r="S9" s="4" t="s">
        <v>1</v>
      </c>
      <c r="T9" s="91" t="s">
        <v>55</v>
      </c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P9" s="23" t="s">
        <v>13</v>
      </c>
      <c r="AV9" s="4" t="s">
        <v>1</v>
      </c>
      <c r="AW9" s="92" t="s">
        <v>56</v>
      </c>
      <c r="AX9" s="92"/>
      <c r="AY9" s="92"/>
      <c r="AZ9" s="92"/>
      <c r="BA9" s="92"/>
      <c r="BB9" s="92"/>
      <c r="BC9" s="92"/>
      <c r="BD9" s="92"/>
      <c r="BE9" s="92"/>
      <c r="BF9" s="92"/>
      <c r="BG9" s="92"/>
      <c r="BH9" s="92"/>
      <c r="BK9" s="21"/>
    </row>
    <row r="10" spans="1:70" ht="3.45" customHeight="1">
      <c r="A10" s="9"/>
      <c r="I10" s="10"/>
      <c r="T10" s="4" t="s">
        <v>14</v>
      </c>
      <c r="BK10" s="21"/>
    </row>
    <row r="11" spans="1:70" ht="13.95" customHeight="1">
      <c r="A11" s="174" t="s">
        <v>15</v>
      </c>
      <c r="B11" s="175" t="s">
        <v>16</v>
      </c>
      <c r="C11" s="175" t="s">
        <v>17</v>
      </c>
      <c r="D11" s="175" t="s">
        <v>18</v>
      </c>
      <c r="E11" s="2"/>
      <c r="F11" s="2"/>
      <c r="G11" s="2"/>
      <c r="H11" s="2"/>
      <c r="I11" s="218" t="s">
        <v>19</v>
      </c>
      <c r="J11" s="219"/>
      <c r="K11" s="222" t="s">
        <v>20</v>
      </c>
      <c r="L11" s="223"/>
      <c r="M11" s="212" t="s">
        <v>21</v>
      </c>
      <c r="N11" s="213"/>
      <c r="O11" s="213"/>
      <c r="P11" s="213"/>
      <c r="Q11" s="213"/>
      <c r="R11" s="213"/>
      <c r="S11" s="213"/>
      <c r="T11" s="213"/>
      <c r="U11" s="213"/>
      <c r="V11" s="213"/>
      <c r="W11" s="213"/>
      <c r="X11" s="213"/>
      <c r="Y11" s="213"/>
      <c r="Z11" s="213"/>
      <c r="AA11" s="213"/>
      <c r="AB11" s="213"/>
      <c r="AC11" s="214"/>
      <c r="AD11" s="93" t="s">
        <v>22</v>
      </c>
      <c r="AE11" s="94"/>
      <c r="AF11" s="94"/>
      <c r="AG11" s="94"/>
      <c r="AH11" s="94"/>
      <c r="AI11" s="94"/>
      <c r="AJ11" s="94"/>
      <c r="AK11" s="94"/>
      <c r="AL11" s="94"/>
      <c r="AM11" s="94"/>
      <c r="AN11" s="94"/>
      <c r="AO11" s="95"/>
      <c r="AP11" s="93" t="s">
        <v>23</v>
      </c>
      <c r="AQ11" s="94"/>
      <c r="AR11" s="94"/>
      <c r="AS11" s="94"/>
      <c r="AT11" s="94"/>
      <c r="AU11" s="94"/>
      <c r="AV11" s="94"/>
      <c r="AW11" s="94"/>
      <c r="AX11" s="94"/>
      <c r="AY11" s="94"/>
      <c r="AZ11" s="94"/>
      <c r="BA11" s="95"/>
      <c r="BB11" s="226" t="s">
        <v>24</v>
      </c>
      <c r="BC11" s="94"/>
      <c r="BD11" s="94"/>
      <c r="BE11" s="94"/>
      <c r="BF11" s="94"/>
      <c r="BG11" s="94"/>
      <c r="BH11" s="94"/>
      <c r="BI11" s="94"/>
      <c r="BJ11" s="94"/>
      <c r="BK11" s="95"/>
      <c r="BL11" s="178"/>
      <c r="BM11" s="178"/>
      <c r="BN11" s="178"/>
      <c r="BO11" s="178"/>
      <c r="BP11" s="197"/>
    </row>
    <row r="12" spans="1:70" ht="12" customHeight="1">
      <c r="A12" s="174"/>
      <c r="B12" s="175"/>
      <c r="C12" s="175"/>
      <c r="D12" s="175"/>
      <c r="E12" s="2" t="s">
        <v>19</v>
      </c>
      <c r="F12" s="2" t="s">
        <v>20</v>
      </c>
      <c r="G12" s="2" t="s">
        <v>25</v>
      </c>
      <c r="H12" s="2" t="s">
        <v>26</v>
      </c>
      <c r="I12" s="220"/>
      <c r="J12" s="221"/>
      <c r="K12" s="224"/>
      <c r="L12" s="225"/>
      <c r="M12" s="215"/>
      <c r="N12" s="216"/>
      <c r="O12" s="216"/>
      <c r="P12" s="216"/>
      <c r="Q12" s="216"/>
      <c r="R12" s="216"/>
      <c r="S12" s="216"/>
      <c r="T12" s="216"/>
      <c r="U12" s="216"/>
      <c r="V12" s="216"/>
      <c r="W12" s="216"/>
      <c r="X12" s="216"/>
      <c r="Y12" s="216"/>
      <c r="Z12" s="216"/>
      <c r="AA12" s="216"/>
      <c r="AB12" s="216"/>
      <c r="AC12" s="217"/>
      <c r="AD12" s="96" t="s">
        <v>27</v>
      </c>
      <c r="AE12" s="97"/>
      <c r="AF12" s="97"/>
      <c r="AG12" s="97"/>
      <c r="AH12" s="97" t="s">
        <v>28</v>
      </c>
      <c r="AI12" s="97"/>
      <c r="AJ12" s="97"/>
      <c r="AK12" s="97"/>
      <c r="AL12" s="98" t="s">
        <v>29</v>
      </c>
      <c r="AM12" s="98"/>
      <c r="AN12" s="98"/>
      <c r="AO12" s="99"/>
      <c r="AP12" s="96" t="s">
        <v>27</v>
      </c>
      <c r="AQ12" s="97"/>
      <c r="AR12" s="97"/>
      <c r="AS12" s="97"/>
      <c r="AT12" s="97" t="s">
        <v>28</v>
      </c>
      <c r="AU12" s="97"/>
      <c r="AV12" s="97"/>
      <c r="AW12" s="97"/>
      <c r="AX12" s="98" t="s">
        <v>29</v>
      </c>
      <c r="AY12" s="98"/>
      <c r="AZ12" s="98"/>
      <c r="BA12" s="99"/>
      <c r="BB12" s="227"/>
      <c r="BC12" s="228"/>
      <c r="BD12" s="228"/>
      <c r="BE12" s="228"/>
      <c r="BF12" s="228"/>
      <c r="BG12" s="228"/>
      <c r="BH12" s="228"/>
      <c r="BI12" s="228"/>
      <c r="BJ12" s="228"/>
      <c r="BK12" s="229"/>
      <c r="BL12" s="178"/>
      <c r="BM12" s="178"/>
      <c r="BN12" s="178"/>
      <c r="BO12" s="178"/>
      <c r="BP12" s="197"/>
    </row>
    <row r="13" spans="1:70" ht="12.75" customHeight="1">
      <c r="A13" s="25"/>
      <c r="B13" s="26"/>
      <c r="C13" s="27"/>
      <c r="D13" s="27"/>
      <c r="E13" s="27"/>
      <c r="F13" s="27"/>
      <c r="G13" s="27"/>
      <c r="H13" s="28"/>
      <c r="I13" s="119" t="s">
        <v>57</v>
      </c>
      <c r="J13" s="120"/>
      <c r="K13" s="121" t="s">
        <v>58</v>
      </c>
      <c r="L13" s="122"/>
      <c r="M13" s="123" t="s">
        <v>59</v>
      </c>
      <c r="N13" s="124"/>
      <c r="O13" s="124"/>
      <c r="P13" s="124"/>
      <c r="Q13" s="124"/>
      <c r="R13" s="124"/>
      <c r="S13" s="124"/>
      <c r="T13" s="124"/>
      <c r="U13" s="124"/>
      <c r="V13" s="124"/>
      <c r="W13" s="124"/>
      <c r="X13" s="124"/>
      <c r="Y13" s="124"/>
      <c r="Z13" s="124"/>
      <c r="AA13" s="124"/>
      <c r="AB13" s="124"/>
      <c r="AC13" s="125"/>
      <c r="AD13" s="140"/>
      <c r="AE13" s="141"/>
      <c r="AF13" s="141"/>
      <c r="AG13" s="142"/>
      <c r="AH13" s="134"/>
      <c r="AI13" s="135"/>
      <c r="AJ13" s="135"/>
      <c r="AK13" s="136"/>
      <c r="AL13" s="137"/>
      <c r="AM13" s="138"/>
      <c r="AN13" s="138"/>
      <c r="AO13" s="139"/>
      <c r="AP13" s="131"/>
      <c r="AQ13" s="132"/>
      <c r="AR13" s="132"/>
      <c r="AS13" s="133"/>
      <c r="AT13" s="134"/>
      <c r="AU13" s="135"/>
      <c r="AV13" s="135"/>
      <c r="AW13" s="136"/>
      <c r="AX13" s="137"/>
      <c r="AY13" s="138"/>
      <c r="AZ13" s="138"/>
      <c r="BA13" s="139"/>
      <c r="BB13" s="116" t="s">
        <v>60</v>
      </c>
      <c r="BC13" s="117"/>
      <c r="BD13" s="117"/>
      <c r="BE13" s="117"/>
      <c r="BF13" s="117"/>
      <c r="BG13" s="117"/>
      <c r="BH13" s="117"/>
      <c r="BI13" s="117"/>
      <c r="BJ13" s="117"/>
      <c r="BK13" s="118"/>
      <c r="BL13" s="29"/>
      <c r="BM13" s="30"/>
      <c r="BN13" s="29"/>
      <c r="BO13" s="29"/>
    </row>
    <row r="14" spans="1:70" ht="12.75" customHeight="1">
      <c r="A14" s="25"/>
      <c r="B14" s="26"/>
      <c r="C14" s="27"/>
      <c r="D14" s="27"/>
      <c r="E14" s="27"/>
      <c r="F14" s="27"/>
      <c r="G14" s="27"/>
      <c r="H14" s="28"/>
      <c r="I14" s="119"/>
      <c r="J14" s="120"/>
      <c r="K14" s="121"/>
      <c r="L14" s="122"/>
      <c r="M14" s="123"/>
      <c r="N14" s="124"/>
      <c r="O14" s="124"/>
      <c r="P14" s="124"/>
      <c r="Q14" s="124"/>
      <c r="R14" s="124"/>
      <c r="S14" s="124"/>
      <c r="T14" s="124"/>
      <c r="U14" s="124"/>
      <c r="V14" s="124"/>
      <c r="W14" s="124"/>
      <c r="X14" s="124"/>
      <c r="Y14" s="124"/>
      <c r="Z14" s="124"/>
      <c r="AA14" s="124"/>
      <c r="AB14" s="124"/>
      <c r="AC14" s="125"/>
      <c r="AD14" s="134"/>
      <c r="AE14" s="135"/>
      <c r="AF14" s="135"/>
      <c r="AG14" s="136"/>
      <c r="AH14" s="134"/>
      <c r="AI14" s="135"/>
      <c r="AJ14" s="135"/>
      <c r="AK14" s="136"/>
      <c r="AL14" s="137"/>
      <c r="AM14" s="138"/>
      <c r="AN14" s="138"/>
      <c r="AO14" s="139"/>
      <c r="AP14" s="126"/>
      <c r="AQ14" s="127"/>
      <c r="AR14" s="127"/>
      <c r="AS14" s="127"/>
      <c r="AT14" s="128"/>
      <c r="AU14" s="128"/>
      <c r="AV14" s="128"/>
      <c r="AW14" s="128"/>
      <c r="AX14" s="129"/>
      <c r="AY14" s="129"/>
      <c r="AZ14" s="129"/>
      <c r="BA14" s="130"/>
      <c r="BB14" s="116"/>
      <c r="BC14" s="117"/>
      <c r="BD14" s="117"/>
      <c r="BE14" s="117"/>
      <c r="BF14" s="117"/>
      <c r="BG14" s="117"/>
      <c r="BH14" s="117"/>
      <c r="BI14" s="117"/>
      <c r="BJ14" s="117"/>
      <c r="BK14" s="118"/>
      <c r="BL14" s="29"/>
      <c r="BM14" s="30"/>
      <c r="BN14" s="29"/>
      <c r="BO14" s="29"/>
    </row>
    <row r="15" spans="1:70" ht="12.75" customHeight="1">
      <c r="A15" s="25"/>
      <c r="B15" s="26"/>
      <c r="C15" s="27"/>
      <c r="D15" s="27"/>
      <c r="E15" s="27"/>
      <c r="F15" s="27"/>
      <c r="G15" s="27"/>
      <c r="H15" s="28"/>
      <c r="I15" s="119"/>
      <c r="J15" s="120"/>
      <c r="K15" s="121"/>
      <c r="L15" s="122"/>
      <c r="M15" s="145"/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  <c r="AB15" s="146"/>
      <c r="AC15" s="147"/>
      <c r="AD15" s="134" t="s">
        <v>51</v>
      </c>
      <c r="AE15" s="135"/>
      <c r="AF15" s="135"/>
      <c r="AG15" s="136"/>
      <c r="AH15" s="134"/>
      <c r="AI15" s="135"/>
      <c r="AJ15" s="135"/>
      <c r="AK15" s="136"/>
      <c r="AL15" s="137"/>
      <c r="AM15" s="138"/>
      <c r="AN15" s="138"/>
      <c r="AO15" s="139"/>
      <c r="AP15" s="131"/>
      <c r="AQ15" s="132"/>
      <c r="AR15" s="132"/>
      <c r="AS15" s="133"/>
      <c r="AT15" s="134"/>
      <c r="AU15" s="135"/>
      <c r="AV15" s="135"/>
      <c r="AW15" s="136"/>
      <c r="AX15" s="137"/>
      <c r="AY15" s="138"/>
      <c r="AZ15" s="138"/>
      <c r="BA15" s="139"/>
      <c r="BB15" s="143"/>
      <c r="BC15" s="143"/>
      <c r="BD15" s="143"/>
      <c r="BE15" s="143"/>
      <c r="BF15" s="143"/>
      <c r="BG15" s="143"/>
      <c r="BH15" s="143"/>
      <c r="BI15" s="143"/>
      <c r="BJ15" s="143"/>
      <c r="BK15" s="144"/>
      <c r="BL15" s="29"/>
      <c r="BM15" s="30"/>
      <c r="BN15" s="29"/>
      <c r="BO15" s="29"/>
      <c r="BQ15"/>
      <c r="BR15"/>
    </row>
    <row r="16" spans="1:70" ht="12.75" customHeight="1">
      <c r="A16" s="25" t="str">
        <f t="shared" ref="A16:A24" si="0">IF(I16&lt;&gt;"",$BB$6,"")</f>
        <v/>
      </c>
      <c r="B16" s="26" t="str">
        <f t="shared" ref="B16:B24" si="1">IF(I16&lt;&gt;"",$T$9,"")</f>
        <v/>
      </c>
      <c r="C16" s="27" t="str">
        <f t="shared" ref="C16:C24" si="2">IF(I16&lt;&gt;"",$AW$9,"")</f>
        <v/>
      </c>
      <c r="D16" s="27" t="str">
        <f t="shared" ref="D16:D24" si="3">IF(I16&lt;&gt;"",$I$26,"")</f>
        <v/>
      </c>
      <c r="E16" s="27" t="str">
        <f t="shared" ref="E16:E24" si="4">IF(I16&lt;&gt;"",I16,"")</f>
        <v/>
      </c>
      <c r="F16" s="27" t="str">
        <f t="shared" ref="F16:F24" si="5">IF(I16&lt;&gt;"",K16,"")</f>
        <v/>
      </c>
      <c r="G16" s="27" t="str">
        <f>IF(I16&lt;&gt;"",M18,"")</f>
        <v/>
      </c>
      <c r="H16" s="72" t="str">
        <f t="shared" ref="H16:H24" si="6">IF(I16&lt;&gt;"",$AW$8,"")</f>
        <v/>
      </c>
      <c r="I16" s="119"/>
      <c r="J16" s="120"/>
      <c r="K16" s="121"/>
      <c r="L16" s="122"/>
      <c r="M16" s="145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7"/>
      <c r="AD16" s="134"/>
      <c r="AE16" s="135"/>
      <c r="AF16" s="135"/>
      <c r="AG16" s="136"/>
      <c r="AH16" s="128"/>
      <c r="AI16" s="128"/>
      <c r="AJ16" s="128"/>
      <c r="AK16" s="128"/>
      <c r="AL16" s="129"/>
      <c r="AM16" s="129"/>
      <c r="AN16" s="129"/>
      <c r="AO16" s="130"/>
      <c r="AP16" s="126"/>
      <c r="AQ16" s="127"/>
      <c r="AR16" s="127"/>
      <c r="AS16" s="127"/>
      <c r="AT16" s="128"/>
      <c r="AU16" s="128"/>
      <c r="AV16" s="128"/>
      <c r="AW16" s="128"/>
      <c r="AX16" s="129"/>
      <c r="AY16" s="129"/>
      <c r="AZ16" s="129"/>
      <c r="BA16" s="137"/>
      <c r="BB16" s="148"/>
      <c r="BC16" s="143"/>
      <c r="BD16" s="143"/>
      <c r="BE16" s="143"/>
      <c r="BF16" s="143"/>
      <c r="BG16" s="143"/>
      <c r="BH16" s="143"/>
      <c r="BI16" s="143"/>
      <c r="BJ16" s="143"/>
      <c r="BK16" s="144"/>
      <c r="BL16" s="29"/>
      <c r="BM16" s="30"/>
      <c r="BN16" s="29"/>
      <c r="BO16" s="29"/>
    </row>
    <row r="17" spans="1:68" ht="12.75" customHeight="1">
      <c r="A17" s="25" t="str">
        <f t="shared" si="0"/>
        <v/>
      </c>
      <c r="B17" s="26" t="str">
        <f t="shared" si="1"/>
        <v/>
      </c>
      <c r="C17" s="27" t="str">
        <f t="shared" si="2"/>
        <v/>
      </c>
      <c r="D17" s="27" t="str">
        <f t="shared" si="3"/>
        <v/>
      </c>
      <c r="E17" s="27" t="str">
        <f t="shared" si="4"/>
        <v/>
      </c>
      <c r="F17" s="27" t="str">
        <f t="shared" si="5"/>
        <v/>
      </c>
      <c r="G17" s="27" t="str">
        <f>IF(I17&lt;&gt;"",#REF!,"")</f>
        <v/>
      </c>
      <c r="H17" s="72" t="str">
        <f t="shared" si="6"/>
        <v/>
      </c>
      <c r="I17" s="119"/>
      <c r="J17" s="120"/>
      <c r="K17" s="121"/>
      <c r="L17" s="122"/>
      <c r="M17" s="145"/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  <c r="AB17" s="146"/>
      <c r="AC17" s="147"/>
      <c r="AD17" s="126"/>
      <c r="AE17" s="127"/>
      <c r="AF17" s="127"/>
      <c r="AG17" s="127"/>
      <c r="AH17" s="128"/>
      <c r="AI17" s="128"/>
      <c r="AJ17" s="128"/>
      <c r="AK17" s="128"/>
      <c r="AL17" s="129"/>
      <c r="AM17" s="129"/>
      <c r="AN17" s="129"/>
      <c r="AO17" s="130"/>
      <c r="AP17" s="126"/>
      <c r="AQ17" s="127"/>
      <c r="AR17" s="127"/>
      <c r="AS17" s="127"/>
      <c r="AT17" s="128"/>
      <c r="AU17" s="128"/>
      <c r="AV17" s="128"/>
      <c r="AW17" s="128"/>
      <c r="AX17" s="129"/>
      <c r="AY17" s="129"/>
      <c r="AZ17" s="129"/>
      <c r="BA17" s="137"/>
      <c r="BB17" s="148"/>
      <c r="BC17" s="143"/>
      <c r="BD17" s="143"/>
      <c r="BE17" s="143"/>
      <c r="BF17" s="143"/>
      <c r="BG17" s="143"/>
      <c r="BH17" s="143"/>
      <c r="BI17" s="143"/>
      <c r="BJ17" s="143"/>
      <c r="BK17" s="144"/>
      <c r="BL17" s="29"/>
      <c r="BM17" s="30"/>
      <c r="BN17" s="29"/>
      <c r="BO17" s="29"/>
    </row>
    <row r="18" spans="1:68" ht="13.2">
      <c r="A18" s="25" t="str">
        <f t="shared" si="0"/>
        <v/>
      </c>
      <c r="B18" s="26" t="str">
        <f t="shared" si="1"/>
        <v/>
      </c>
      <c r="C18" s="27" t="str">
        <f t="shared" si="2"/>
        <v/>
      </c>
      <c r="D18" s="27" t="str">
        <f t="shared" si="3"/>
        <v/>
      </c>
      <c r="E18" s="27" t="str">
        <f t="shared" si="4"/>
        <v/>
      </c>
      <c r="F18" s="27" t="str">
        <f t="shared" si="5"/>
        <v/>
      </c>
      <c r="G18" s="27" t="str">
        <f>IF(I18&lt;&gt;"",#REF!,"")</f>
        <v/>
      </c>
      <c r="H18" s="72" t="str">
        <f t="shared" si="6"/>
        <v/>
      </c>
      <c r="I18" s="119"/>
      <c r="J18" s="120"/>
      <c r="K18" s="121"/>
      <c r="L18" s="122"/>
      <c r="M18" s="149"/>
      <c r="N18" s="150"/>
      <c r="O18" s="150"/>
      <c r="P18" s="150"/>
      <c r="Q18" s="150"/>
      <c r="R18" s="150"/>
      <c r="S18" s="150"/>
      <c r="T18" s="150"/>
      <c r="U18" s="150"/>
      <c r="V18" s="150"/>
      <c r="W18" s="150"/>
      <c r="X18" s="150"/>
      <c r="Y18" s="150"/>
      <c r="Z18" s="150"/>
      <c r="AA18" s="150"/>
      <c r="AB18" s="150"/>
      <c r="AC18" s="151"/>
      <c r="AD18" s="126"/>
      <c r="AE18" s="127"/>
      <c r="AF18" s="127"/>
      <c r="AG18" s="127"/>
      <c r="AH18" s="128"/>
      <c r="AI18" s="128"/>
      <c r="AJ18" s="128"/>
      <c r="AK18" s="128"/>
      <c r="AL18" s="129"/>
      <c r="AM18" s="129"/>
      <c r="AN18" s="129"/>
      <c r="AO18" s="130"/>
      <c r="AP18" s="126"/>
      <c r="AQ18" s="127"/>
      <c r="AR18" s="127"/>
      <c r="AS18" s="127"/>
      <c r="AT18" s="128"/>
      <c r="AU18" s="128"/>
      <c r="AV18" s="128"/>
      <c r="AW18" s="128"/>
      <c r="AX18" s="129"/>
      <c r="AY18" s="129"/>
      <c r="AZ18" s="129"/>
      <c r="BA18" s="137"/>
      <c r="BB18" s="148"/>
      <c r="BC18" s="143"/>
      <c r="BD18" s="143"/>
      <c r="BE18" s="143"/>
      <c r="BF18" s="143"/>
      <c r="BG18" s="143"/>
      <c r="BH18" s="143"/>
      <c r="BI18" s="143"/>
      <c r="BJ18" s="143"/>
      <c r="BK18" s="144"/>
      <c r="BL18" s="29"/>
      <c r="BM18" s="30"/>
      <c r="BN18" s="29"/>
      <c r="BO18" s="29"/>
    </row>
    <row r="19" spans="1:68" ht="13.2">
      <c r="A19" s="25"/>
      <c r="B19" s="26"/>
      <c r="C19" s="27"/>
      <c r="D19" s="27"/>
      <c r="E19" s="27"/>
      <c r="F19" s="27"/>
      <c r="G19" s="27"/>
      <c r="H19" s="28"/>
      <c r="I19" s="119"/>
      <c r="J19" s="120"/>
      <c r="K19" s="121"/>
      <c r="L19" s="122"/>
      <c r="M19" s="149"/>
      <c r="N19" s="150"/>
      <c r="O19" s="150"/>
      <c r="P19" s="150"/>
      <c r="Q19" s="150"/>
      <c r="R19" s="150"/>
      <c r="S19" s="150"/>
      <c r="T19" s="150"/>
      <c r="U19" s="150"/>
      <c r="V19" s="150"/>
      <c r="W19" s="150"/>
      <c r="X19" s="150"/>
      <c r="Y19" s="150"/>
      <c r="Z19" s="150"/>
      <c r="AA19" s="150"/>
      <c r="AB19" s="150"/>
      <c r="AC19" s="151"/>
      <c r="AD19" s="126"/>
      <c r="AE19" s="127"/>
      <c r="AF19" s="127"/>
      <c r="AG19" s="127"/>
      <c r="AH19" s="128"/>
      <c r="AI19" s="128"/>
      <c r="AJ19" s="128"/>
      <c r="AK19" s="128"/>
      <c r="AL19" s="129"/>
      <c r="AM19" s="129"/>
      <c r="AN19" s="129"/>
      <c r="AO19" s="130"/>
      <c r="AP19" s="126"/>
      <c r="AQ19" s="127"/>
      <c r="AR19" s="127"/>
      <c r="AS19" s="127"/>
      <c r="AT19" s="128"/>
      <c r="AU19" s="128"/>
      <c r="AV19" s="128"/>
      <c r="AW19" s="128"/>
      <c r="AX19" s="129"/>
      <c r="AY19" s="129"/>
      <c r="AZ19" s="129"/>
      <c r="BA19" s="130"/>
      <c r="BB19" s="152"/>
      <c r="BC19" s="153"/>
      <c r="BD19" s="153"/>
      <c r="BE19" s="153"/>
      <c r="BF19" s="153"/>
      <c r="BG19" s="153"/>
      <c r="BH19" s="153"/>
      <c r="BI19" s="153"/>
      <c r="BJ19" s="153"/>
      <c r="BK19" s="154"/>
      <c r="BL19" s="29"/>
      <c r="BM19" s="30"/>
      <c r="BN19" s="29"/>
      <c r="BO19" s="29"/>
    </row>
    <row r="20" spans="1:68" ht="13.2">
      <c r="A20" s="25"/>
      <c r="B20" s="26"/>
      <c r="C20" s="27"/>
      <c r="D20" s="27"/>
      <c r="E20" s="27"/>
      <c r="F20" s="27"/>
      <c r="G20" s="27"/>
      <c r="H20" s="28"/>
      <c r="I20" s="119"/>
      <c r="J20" s="120"/>
      <c r="K20" s="121"/>
      <c r="L20" s="122"/>
      <c r="M20" s="149"/>
      <c r="N20" s="150"/>
      <c r="O20" s="150"/>
      <c r="P20" s="150"/>
      <c r="Q20" s="150"/>
      <c r="R20" s="150"/>
      <c r="S20" s="150"/>
      <c r="T20" s="150"/>
      <c r="U20" s="150"/>
      <c r="V20" s="150"/>
      <c r="W20" s="150"/>
      <c r="X20" s="150"/>
      <c r="Y20" s="150"/>
      <c r="Z20" s="150"/>
      <c r="AA20" s="150"/>
      <c r="AB20" s="150"/>
      <c r="AC20" s="151"/>
      <c r="AD20" s="131"/>
      <c r="AE20" s="132"/>
      <c r="AF20" s="132"/>
      <c r="AG20" s="133"/>
      <c r="AH20" s="134"/>
      <c r="AI20" s="135"/>
      <c r="AJ20" s="135"/>
      <c r="AK20" s="136"/>
      <c r="AL20" s="137"/>
      <c r="AM20" s="138"/>
      <c r="AN20" s="138"/>
      <c r="AO20" s="139"/>
      <c r="AP20" s="131"/>
      <c r="AQ20" s="132"/>
      <c r="AR20" s="132"/>
      <c r="AS20" s="133"/>
      <c r="AT20" s="134"/>
      <c r="AU20" s="135"/>
      <c r="AV20" s="135"/>
      <c r="AW20" s="136"/>
      <c r="AX20" s="137"/>
      <c r="AY20" s="138"/>
      <c r="AZ20" s="138"/>
      <c r="BA20" s="139"/>
      <c r="BB20" s="155"/>
      <c r="BC20" s="156"/>
      <c r="BD20" s="156"/>
      <c r="BE20" s="156"/>
      <c r="BF20" s="156"/>
      <c r="BG20" s="156"/>
      <c r="BH20" s="156"/>
      <c r="BI20" s="156"/>
      <c r="BJ20" s="156"/>
      <c r="BK20" s="157"/>
      <c r="BL20" s="29"/>
      <c r="BM20" s="30"/>
      <c r="BN20" s="29"/>
      <c r="BO20" s="29"/>
    </row>
    <row r="21" spans="1:68" ht="13.2">
      <c r="A21" s="25" t="str">
        <f t="shared" ref="A21:A23" si="7">IF(I21&lt;&gt;"",$BB$6,"")</f>
        <v/>
      </c>
      <c r="B21" s="26" t="str">
        <f t="shared" ref="B21:B23" si="8">IF(I21&lt;&gt;"",$T$9,"")</f>
        <v/>
      </c>
      <c r="C21" s="27" t="str">
        <f t="shared" ref="C21:C23" si="9">IF(I21&lt;&gt;"",$AW$9,"")</f>
        <v/>
      </c>
      <c r="D21" s="27" t="str">
        <f t="shared" ref="D21:D23" si="10">IF(I21&lt;&gt;"",$I$26,"")</f>
        <v/>
      </c>
      <c r="E21" s="27" t="str">
        <f t="shared" ref="E21:E23" si="11">IF(I21&lt;&gt;"",I21,"")</f>
        <v/>
      </c>
      <c r="F21" s="27" t="str">
        <f t="shared" ref="F21:F23" si="12">IF(I21&lt;&gt;"",K21,"")</f>
        <v/>
      </c>
      <c r="G21" s="27" t="str">
        <f>IF(I21&lt;&gt;"",#REF!,"")</f>
        <v/>
      </c>
      <c r="H21" s="72" t="str">
        <f t="shared" ref="H21:H23" si="13">IF(I21&lt;&gt;"",$AW$8,"")</f>
        <v/>
      </c>
      <c r="I21" s="119"/>
      <c r="J21" s="120"/>
      <c r="K21" s="121"/>
      <c r="L21" s="122"/>
      <c r="M21" s="165"/>
      <c r="N21" s="166"/>
      <c r="O21" s="166"/>
      <c r="P21" s="166"/>
      <c r="Q21" s="166"/>
      <c r="R21" s="166"/>
      <c r="S21" s="166"/>
      <c r="T21" s="166"/>
      <c r="U21" s="166"/>
      <c r="V21" s="166"/>
      <c r="W21" s="166"/>
      <c r="X21" s="166"/>
      <c r="Y21" s="166"/>
      <c r="Z21" s="166"/>
      <c r="AA21" s="166"/>
      <c r="AB21" s="166"/>
      <c r="AC21" s="167"/>
      <c r="AD21" s="131"/>
      <c r="AE21" s="132"/>
      <c r="AF21" s="132"/>
      <c r="AG21" s="133"/>
      <c r="AH21" s="134"/>
      <c r="AI21" s="135"/>
      <c r="AJ21" s="135"/>
      <c r="AK21" s="136"/>
      <c r="AL21" s="137"/>
      <c r="AM21" s="138"/>
      <c r="AN21" s="138"/>
      <c r="AO21" s="139"/>
      <c r="AP21" s="131"/>
      <c r="AQ21" s="132"/>
      <c r="AR21" s="132"/>
      <c r="AS21" s="133"/>
      <c r="AT21" s="134"/>
      <c r="AU21" s="135"/>
      <c r="AV21" s="135"/>
      <c r="AW21" s="136"/>
      <c r="AX21" s="137"/>
      <c r="AY21" s="138"/>
      <c r="AZ21" s="138"/>
      <c r="BA21" s="139"/>
      <c r="BB21" s="155"/>
      <c r="BC21" s="156"/>
      <c r="BD21" s="156"/>
      <c r="BE21" s="156"/>
      <c r="BF21" s="156"/>
      <c r="BG21" s="156"/>
      <c r="BH21" s="156"/>
      <c r="BI21" s="156"/>
      <c r="BJ21" s="156"/>
      <c r="BK21" s="157"/>
      <c r="BL21" s="29"/>
      <c r="BM21" s="30"/>
      <c r="BN21" s="29"/>
      <c r="BO21" s="29"/>
    </row>
    <row r="22" spans="1:68" ht="13.2">
      <c r="A22" s="25" t="str">
        <f t="shared" si="7"/>
        <v/>
      </c>
      <c r="B22" s="26" t="str">
        <f t="shared" si="8"/>
        <v/>
      </c>
      <c r="C22" s="27" t="str">
        <f t="shared" si="9"/>
        <v/>
      </c>
      <c r="D22" s="27" t="str">
        <f t="shared" si="10"/>
        <v/>
      </c>
      <c r="E22" s="27" t="str">
        <f t="shared" si="11"/>
        <v/>
      </c>
      <c r="F22" s="27" t="str">
        <f t="shared" si="12"/>
        <v/>
      </c>
      <c r="G22" s="27" t="str">
        <f>IF(I22&lt;&gt;"",#REF!,"")</f>
        <v/>
      </c>
      <c r="H22" s="72" t="str">
        <f t="shared" si="13"/>
        <v/>
      </c>
      <c r="I22" s="119"/>
      <c r="J22" s="120"/>
      <c r="K22" s="158"/>
      <c r="L22" s="122"/>
      <c r="M22" s="159"/>
      <c r="N22" s="160"/>
      <c r="O22" s="160"/>
      <c r="P22" s="160"/>
      <c r="Q22" s="160"/>
      <c r="R22" s="160"/>
      <c r="S22" s="160"/>
      <c r="T22" s="160"/>
      <c r="U22" s="160"/>
      <c r="V22" s="160"/>
      <c r="W22" s="160"/>
      <c r="X22" s="160"/>
      <c r="Y22" s="160"/>
      <c r="Z22" s="160"/>
      <c r="AA22" s="160"/>
      <c r="AB22" s="160"/>
      <c r="AC22" s="161"/>
      <c r="AD22" s="126"/>
      <c r="AE22" s="127"/>
      <c r="AF22" s="127"/>
      <c r="AG22" s="127"/>
      <c r="AH22" s="128"/>
      <c r="AI22" s="128"/>
      <c r="AJ22" s="128"/>
      <c r="AK22" s="128"/>
      <c r="AL22" s="129"/>
      <c r="AM22" s="129"/>
      <c r="AN22" s="129"/>
      <c r="AO22" s="130"/>
      <c r="AP22" s="126"/>
      <c r="AQ22" s="127"/>
      <c r="AR22" s="127"/>
      <c r="AS22" s="127"/>
      <c r="AT22" s="128"/>
      <c r="AU22" s="128"/>
      <c r="AV22" s="128"/>
      <c r="AW22" s="128"/>
      <c r="AX22" s="129"/>
      <c r="AY22" s="129"/>
      <c r="AZ22" s="129"/>
      <c r="BA22" s="130"/>
      <c r="BB22" s="162"/>
      <c r="BC22" s="163"/>
      <c r="BD22" s="163"/>
      <c r="BE22" s="163"/>
      <c r="BF22" s="163"/>
      <c r="BG22" s="163"/>
      <c r="BH22" s="163"/>
      <c r="BI22" s="163"/>
      <c r="BJ22" s="163"/>
      <c r="BK22" s="164"/>
      <c r="BL22" s="29"/>
      <c r="BM22" s="30"/>
      <c r="BN22" s="29"/>
      <c r="BO22" s="29"/>
    </row>
    <row r="23" spans="1:68" ht="13.2">
      <c r="A23" s="25" t="str">
        <f t="shared" si="7"/>
        <v/>
      </c>
      <c r="B23" s="26" t="str">
        <f t="shared" si="8"/>
        <v/>
      </c>
      <c r="C23" s="27" t="str">
        <f t="shared" si="9"/>
        <v/>
      </c>
      <c r="D23" s="27" t="str">
        <f t="shared" si="10"/>
        <v/>
      </c>
      <c r="E23" s="27" t="str">
        <f t="shared" si="11"/>
        <v/>
      </c>
      <c r="F23" s="27" t="str">
        <f t="shared" si="12"/>
        <v/>
      </c>
      <c r="G23" s="27"/>
      <c r="H23" s="72" t="str">
        <f t="shared" si="13"/>
        <v/>
      </c>
      <c r="I23" s="119"/>
      <c r="J23" s="120"/>
      <c r="K23" s="158"/>
      <c r="L23" s="122"/>
      <c r="M23" s="159"/>
      <c r="N23" s="160"/>
      <c r="O23" s="160"/>
      <c r="P23" s="160"/>
      <c r="Q23" s="160"/>
      <c r="R23" s="160"/>
      <c r="S23" s="160"/>
      <c r="T23" s="160"/>
      <c r="U23" s="160"/>
      <c r="V23" s="160"/>
      <c r="W23" s="160"/>
      <c r="X23" s="160"/>
      <c r="Y23" s="160"/>
      <c r="Z23" s="160"/>
      <c r="AA23" s="160"/>
      <c r="AB23" s="160"/>
      <c r="AC23" s="161"/>
      <c r="AD23" s="126"/>
      <c r="AE23" s="127"/>
      <c r="AF23" s="127"/>
      <c r="AG23" s="127"/>
      <c r="AH23" s="128"/>
      <c r="AI23" s="128"/>
      <c r="AJ23" s="128"/>
      <c r="AK23" s="128"/>
      <c r="AL23" s="129"/>
      <c r="AM23" s="129"/>
      <c r="AN23" s="129"/>
      <c r="AO23" s="130"/>
      <c r="AP23" s="126"/>
      <c r="AQ23" s="127"/>
      <c r="AR23" s="127"/>
      <c r="AS23" s="127"/>
      <c r="AT23" s="128"/>
      <c r="AU23" s="128"/>
      <c r="AV23" s="128"/>
      <c r="AW23" s="128"/>
      <c r="AX23" s="129"/>
      <c r="AY23" s="129"/>
      <c r="AZ23" s="129"/>
      <c r="BA23" s="130"/>
      <c r="BB23" s="162"/>
      <c r="BC23" s="163"/>
      <c r="BD23" s="163"/>
      <c r="BE23" s="163"/>
      <c r="BF23" s="163"/>
      <c r="BG23" s="163"/>
      <c r="BH23" s="163"/>
      <c r="BI23" s="163"/>
      <c r="BJ23" s="163"/>
      <c r="BK23" s="164"/>
      <c r="BL23" s="29"/>
      <c r="BM23" s="30"/>
      <c r="BN23" s="29"/>
      <c r="BO23" s="29"/>
    </row>
    <row r="24" spans="1:68" ht="13.8" thickBot="1">
      <c r="A24" s="25" t="str">
        <f t="shared" si="0"/>
        <v/>
      </c>
      <c r="B24" s="26" t="str">
        <f t="shared" si="1"/>
        <v/>
      </c>
      <c r="C24" s="27" t="str">
        <f t="shared" si="2"/>
        <v/>
      </c>
      <c r="D24" s="27" t="str">
        <f t="shared" si="3"/>
        <v/>
      </c>
      <c r="E24" s="27" t="str">
        <f t="shared" si="4"/>
        <v/>
      </c>
      <c r="F24" s="27" t="str">
        <f t="shared" si="5"/>
        <v/>
      </c>
      <c r="G24" s="27" t="str">
        <f t="shared" ref="G24" si="14">IF(I24&lt;&gt;"",M24,"")</f>
        <v/>
      </c>
      <c r="H24" s="72" t="str">
        <f t="shared" si="6"/>
        <v/>
      </c>
      <c r="I24" s="187"/>
      <c r="J24" s="188"/>
      <c r="K24" s="189"/>
      <c r="L24" s="190"/>
      <c r="M24" s="191"/>
      <c r="N24" s="192"/>
      <c r="O24" s="192"/>
      <c r="P24" s="192"/>
      <c r="Q24" s="192"/>
      <c r="R24" s="192"/>
      <c r="S24" s="192"/>
      <c r="T24" s="192"/>
      <c r="U24" s="192"/>
      <c r="V24" s="192"/>
      <c r="W24" s="192"/>
      <c r="X24" s="192"/>
      <c r="Y24" s="192"/>
      <c r="Z24" s="192"/>
      <c r="AA24" s="192"/>
      <c r="AB24" s="192"/>
      <c r="AC24" s="193"/>
      <c r="AD24" s="194"/>
      <c r="AE24" s="195"/>
      <c r="AF24" s="195"/>
      <c r="AG24" s="195"/>
      <c r="AH24" s="168"/>
      <c r="AI24" s="168"/>
      <c r="AJ24" s="168"/>
      <c r="AK24" s="168"/>
      <c r="AL24" s="241"/>
      <c r="AM24" s="242"/>
      <c r="AN24" s="242"/>
      <c r="AO24" s="243"/>
      <c r="AP24" s="194"/>
      <c r="AQ24" s="195"/>
      <c r="AR24" s="195"/>
      <c r="AS24" s="195"/>
      <c r="AT24" s="168"/>
      <c r="AU24" s="168"/>
      <c r="AV24" s="168"/>
      <c r="AW24" s="168"/>
      <c r="AX24" s="169"/>
      <c r="AY24" s="169"/>
      <c r="AZ24" s="169"/>
      <c r="BA24" s="170"/>
      <c r="BB24" s="171"/>
      <c r="BC24" s="172"/>
      <c r="BD24" s="172"/>
      <c r="BE24" s="172"/>
      <c r="BF24" s="172"/>
      <c r="BG24" s="172"/>
      <c r="BH24" s="172"/>
      <c r="BI24" s="172"/>
      <c r="BJ24" s="172"/>
      <c r="BK24" s="173"/>
      <c r="BL24" s="29"/>
      <c r="BM24" s="30"/>
      <c r="BN24" s="29"/>
      <c r="BO24" s="29"/>
    </row>
    <row r="25" spans="1:68" ht="1.5" customHeight="1">
      <c r="A25" s="25"/>
      <c r="B25" s="26"/>
      <c r="C25" s="27"/>
      <c r="D25" s="27"/>
      <c r="E25" s="27"/>
      <c r="F25" s="27"/>
      <c r="G25" s="27"/>
      <c r="H25" s="28"/>
      <c r="I25" s="31"/>
      <c r="J25" s="24"/>
      <c r="K25" s="32"/>
      <c r="L25" s="32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33"/>
      <c r="AE25" s="33"/>
      <c r="AF25" s="33"/>
      <c r="AG25" s="33"/>
      <c r="AH25" s="34"/>
      <c r="AI25" s="34"/>
      <c r="AJ25" s="34"/>
      <c r="AK25" s="34"/>
      <c r="AL25" s="35"/>
      <c r="AM25" s="35"/>
      <c r="AN25" s="35"/>
      <c r="AO25" s="35"/>
      <c r="AP25" s="33"/>
      <c r="AQ25" s="33"/>
      <c r="AR25" s="33"/>
      <c r="AS25" s="33"/>
      <c r="AT25" s="34"/>
      <c r="AU25" s="34"/>
      <c r="AV25" s="34"/>
      <c r="AW25" s="34"/>
      <c r="AX25" s="35"/>
      <c r="AY25" s="35"/>
      <c r="AZ25" s="35"/>
      <c r="BA25" s="35"/>
      <c r="BB25" s="36"/>
      <c r="BC25" s="36"/>
      <c r="BD25" s="36"/>
      <c r="BE25" s="36"/>
      <c r="BF25" s="36"/>
      <c r="BG25" s="36"/>
      <c r="BH25" s="36"/>
      <c r="BI25" s="36"/>
      <c r="BJ25" s="36"/>
      <c r="BK25" s="37"/>
      <c r="BL25" s="29"/>
      <c r="BM25" s="30"/>
      <c r="BN25" s="29"/>
      <c r="BO25" s="29"/>
    </row>
    <row r="26" spans="1:68" ht="13.5" customHeight="1">
      <c r="A26" s="9"/>
      <c r="D26" s="2"/>
      <c r="E26" s="2"/>
      <c r="F26" s="2"/>
      <c r="G26" s="2"/>
      <c r="H26" s="2"/>
      <c r="I26" s="38" t="s">
        <v>30</v>
      </c>
      <c r="J26" s="39"/>
      <c r="K26" s="39"/>
      <c r="M26" s="23" t="s">
        <v>31</v>
      </c>
      <c r="N26" s="40"/>
      <c r="O26" s="39"/>
      <c r="P26" s="39"/>
      <c r="Q26" s="39"/>
      <c r="S26" s="39"/>
      <c r="T26" s="39"/>
      <c r="U26" s="39"/>
      <c r="V26" s="39"/>
      <c r="W26" s="23" t="s">
        <v>32</v>
      </c>
      <c r="X26" s="39"/>
      <c r="Y26" s="39"/>
      <c r="Z26" s="39"/>
      <c r="AA26" s="39"/>
      <c r="AD26" s="39"/>
      <c r="AE26" s="39"/>
      <c r="AF26" s="23" t="s">
        <v>33</v>
      </c>
      <c r="AG26" s="39"/>
      <c r="AH26" s="39"/>
      <c r="AI26" s="39"/>
      <c r="AJ26" s="39"/>
      <c r="AK26" s="39"/>
      <c r="AL26" s="39"/>
      <c r="AO26" s="199" t="s">
        <v>61</v>
      </c>
      <c r="AP26" s="200"/>
      <c r="AQ26" s="200"/>
      <c r="AR26" s="200"/>
      <c r="AS26" s="200"/>
      <c r="AT26" s="200"/>
      <c r="AU26" s="200"/>
      <c r="AV26" s="200"/>
      <c r="AW26" s="200"/>
      <c r="AX26" s="200"/>
      <c r="AY26" s="200"/>
      <c r="AZ26" s="200"/>
      <c r="BA26" s="200"/>
      <c r="BB26" s="200"/>
      <c r="BC26" s="200"/>
      <c r="BD26" s="200"/>
      <c r="BE26" s="200"/>
      <c r="BF26" s="200"/>
      <c r="BG26" s="200"/>
      <c r="BH26" s="200"/>
      <c r="BI26" s="200"/>
      <c r="BJ26" s="200"/>
      <c r="BK26" s="201"/>
    </row>
    <row r="27" spans="1:68" ht="21.75" customHeight="1">
      <c r="A27" s="9"/>
      <c r="I27" s="41"/>
      <c r="J27" s="42"/>
      <c r="K27" s="42"/>
      <c r="L27" s="42"/>
      <c r="M27" s="23" t="s">
        <v>34</v>
      </c>
      <c r="N27" s="42"/>
      <c r="O27" s="42"/>
      <c r="P27" s="42"/>
      <c r="Q27" s="42"/>
      <c r="R27" s="43"/>
      <c r="S27" s="181"/>
      <c r="T27" s="181"/>
      <c r="U27" s="181"/>
      <c r="V27" s="181"/>
      <c r="W27" s="181"/>
      <c r="X27" s="181"/>
      <c r="Y27" s="181"/>
      <c r="Z27" s="181"/>
      <c r="AA27" s="181"/>
      <c r="AB27" s="43"/>
      <c r="AC27" s="43"/>
      <c r="AD27" s="181"/>
      <c r="AE27" s="181"/>
      <c r="AF27" s="181"/>
      <c r="AG27" s="181"/>
      <c r="AH27" s="181"/>
      <c r="AI27" s="181"/>
      <c r="AJ27" s="181"/>
      <c r="AK27" s="181"/>
      <c r="AL27" s="181"/>
      <c r="AM27" s="43"/>
      <c r="AN27" s="39"/>
      <c r="AO27" s="202"/>
      <c r="AP27" s="203"/>
      <c r="AQ27" s="203"/>
      <c r="AR27" s="203"/>
      <c r="AS27" s="203"/>
      <c r="AT27" s="203"/>
      <c r="AU27" s="203"/>
      <c r="AV27" s="203"/>
      <c r="AW27" s="203"/>
      <c r="AX27" s="203"/>
      <c r="AY27" s="203"/>
      <c r="AZ27" s="203"/>
      <c r="BA27" s="203"/>
      <c r="BB27" s="203"/>
      <c r="BC27" s="203"/>
      <c r="BD27" s="203"/>
      <c r="BE27" s="203"/>
      <c r="BF27" s="203"/>
      <c r="BG27" s="203"/>
      <c r="BH27" s="203"/>
      <c r="BI27" s="203"/>
      <c r="BJ27" s="203"/>
      <c r="BK27" s="204"/>
    </row>
    <row r="28" spans="1:68" ht="3" customHeight="1">
      <c r="A28" s="9"/>
      <c r="I28" s="44"/>
      <c r="J28" s="45"/>
      <c r="K28" s="45"/>
      <c r="L28" s="45"/>
      <c r="M28" s="45"/>
      <c r="N28" s="45"/>
      <c r="O28" s="45"/>
      <c r="P28" s="45"/>
      <c r="Q28" s="45"/>
      <c r="R28" s="39"/>
      <c r="S28" s="45"/>
      <c r="T28" s="45"/>
      <c r="U28" s="45"/>
      <c r="V28" s="45"/>
      <c r="W28" s="45"/>
      <c r="X28" s="45"/>
      <c r="Y28" s="45"/>
      <c r="Z28" s="45"/>
      <c r="AA28" s="45"/>
      <c r="AB28" s="39"/>
      <c r="AC28" s="39"/>
      <c r="AD28" s="45"/>
      <c r="AE28" s="45"/>
      <c r="AF28" s="45"/>
      <c r="AG28" s="45"/>
      <c r="AH28" s="45"/>
      <c r="AI28" s="45"/>
      <c r="AJ28" s="45"/>
      <c r="AK28" s="45"/>
      <c r="AL28" s="45"/>
      <c r="AM28" s="39"/>
      <c r="AN28" s="39"/>
      <c r="AO28" s="46"/>
      <c r="AP28" s="45"/>
      <c r="AQ28" s="45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  <c r="BC28" s="45"/>
      <c r="BD28" s="45"/>
      <c r="BE28" s="45"/>
      <c r="BF28" s="45"/>
      <c r="BG28" s="45"/>
      <c r="BH28" s="45"/>
      <c r="BI28" s="45"/>
      <c r="BJ28" s="45"/>
      <c r="BK28" s="47"/>
    </row>
    <row r="29" spans="1:68" ht="10.5" customHeight="1">
      <c r="A29" s="9"/>
      <c r="I29" s="10"/>
      <c r="J29" s="40"/>
      <c r="K29" s="40"/>
      <c r="L29" s="48"/>
      <c r="M29" s="182"/>
      <c r="N29" s="182"/>
      <c r="O29" s="49"/>
      <c r="P29" s="48"/>
      <c r="Q29" s="49"/>
      <c r="R29" s="48"/>
      <c r="S29" s="49"/>
      <c r="T29" s="49"/>
      <c r="U29" s="50"/>
      <c r="V29" s="183"/>
      <c r="W29" s="183"/>
      <c r="X29" s="49"/>
      <c r="Y29" s="48"/>
      <c r="Z29" s="49"/>
      <c r="AA29" s="49"/>
      <c r="AB29" s="49"/>
      <c r="AC29" s="49"/>
      <c r="AD29" s="48"/>
      <c r="AE29" s="50"/>
      <c r="AF29" s="49"/>
      <c r="AG29" s="49"/>
      <c r="AH29" s="49"/>
      <c r="AI29" s="49"/>
      <c r="AJ29" s="49"/>
      <c r="AK29" s="49"/>
      <c r="AL29" s="49"/>
      <c r="AM29" s="43"/>
      <c r="AN29" s="39"/>
      <c r="AO29" s="184" t="s">
        <v>35</v>
      </c>
      <c r="AP29" s="185"/>
      <c r="AQ29" s="185"/>
      <c r="AR29" s="185"/>
      <c r="AS29" s="185"/>
      <c r="AT29" s="185"/>
      <c r="AU29" s="185"/>
      <c r="AV29" s="185"/>
      <c r="AW29" s="185"/>
      <c r="AX29" s="185"/>
      <c r="AY29" s="185"/>
      <c r="AZ29" s="185"/>
      <c r="BA29" s="40"/>
      <c r="BB29" s="40"/>
      <c r="BC29" s="52"/>
      <c r="BD29" s="52"/>
      <c r="BE29" s="52"/>
      <c r="BF29" s="52"/>
      <c r="BG29" s="52"/>
      <c r="BH29" s="52"/>
      <c r="BI29" s="52"/>
      <c r="BJ29" s="52"/>
      <c r="BK29" s="53"/>
      <c r="BP29" s="4" t="s">
        <v>11</v>
      </c>
    </row>
    <row r="30" spans="1:68" ht="2.1" customHeight="1">
      <c r="A30" s="9"/>
      <c r="I30" s="38"/>
      <c r="J30" s="54"/>
      <c r="N30" s="40"/>
      <c r="O30" s="55"/>
      <c r="P30" s="1"/>
      <c r="Q30" s="1"/>
      <c r="R30" s="1"/>
      <c r="S30" s="1"/>
      <c r="T30" s="1"/>
      <c r="U30" s="1"/>
      <c r="V30" s="40"/>
      <c r="W30" s="40"/>
      <c r="X30" s="40"/>
      <c r="AO30" s="56"/>
      <c r="BA30" s="54"/>
      <c r="BB30" s="54"/>
      <c r="BK30" s="21"/>
    </row>
    <row r="31" spans="1:68" ht="10.5" customHeight="1">
      <c r="A31" s="57"/>
      <c r="I31" s="58"/>
      <c r="J31" s="59"/>
      <c r="K31" s="49"/>
      <c r="L31" s="49"/>
      <c r="M31" s="49"/>
      <c r="N31" s="60"/>
      <c r="O31" s="50"/>
      <c r="P31" s="50"/>
      <c r="Q31" s="50"/>
      <c r="R31" s="50"/>
      <c r="S31" s="50"/>
      <c r="T31" s="50"/>
      <c r="U31" s="50"/>
      <c r="V31" s="60"/>
      <c r="W31" s="60"/>
      <c r="X31" s="60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61"/>
      <c r="AO31" s="56"/>
      <c r="AP31" s="75"/>
      <c r="AR31" s="186" t="s">
        <v>36</v>
      </c>
      <c r="AS31" s="186"/>
      <c r="AT31" s="186"/>
      <c r="AU31" s="186"/>
      <c r="AV31" s="186"/>
      <c r="AW31" s="186"/>
      <c r="AX31" s="186"/>
      <c r="AY31" s="186"/>
      <c r="AZ31" s="186"/>
      <c r="BA31" s="180" t="s">
        <v>37</v>
      </c>
      <c r="BB31" s="180"/>
      <c r="BC31" s="180"/>
      <c r="BD31" s="180"/>
      <c r="BE31" s="180"/>
      <c r="BF31" s="180"/>
      <c r="BG31" s="180"/>
      <c r="BH31" s="180"/>
      <c r="BI31" s="180"/>
      <c r="BJ31" s="180"/>
      <c r="BK31" s="21"/>
    </row>
    <row r="32" spans="1:68" ht="2.1" customHeight="1">
      <c r="A32" s="9"/>
      <c r="I32" s="10"/>
      <c r="J32" s="54"/>
      <c r="N32" s="40"/>
      <c r="O32" s="1"/>
      <c r="P32" s="1"/>
      <c r="Q32" s="1"/>
      <c r="R32" s="1"/>
      <c r="S32" s="1"/>
      <c r="T32" s="1"/>
      <c r="U32" s="1"/>
      <c r="V32" s="40"/>
      <c r="W32" s="40"/>
      <c r="X32" s="40"/>
      <c r="AO32" s="56"/>
      <c r="AR32" s="63"/>
      <c r="AS32" s="63"/>
      <c r="AT32" s="63"/>
      <c r="AU32" s="63"/>
      <c r="AV32" s="63"/>
      <c r="AW32" s="63"/>
      <c r="BD32" s="40"/>
      <c r="BK32" s="21"/>
    </row>
    <row r="33" spans="1:63" ht="10.5" customHeight="1">
      <c r="A33" s="9"/>
      <c r="I33" s="38" t="s">
        <v>38</v>
      </c>
      <c r="J33" s="54"/>
      <c r="O33" s="1"/>
      <c r="P33" s="1"/>
      <c r="Q33" s="40" t="s">
        <v>39</v>
      </c>
      <c r="R33" s="1"/>
      <c r="T33" s="1"/>
      <c r="U33" s="1"/>
      <c r="V33" s="40"/>
      <c r="W33" s="40"/>
      <c r="X33" s="40"/>
      <c r="AD33" s="40" t="s">
        <v>40</v>
      </c>
      <c r="AO33" s="56"/>
      <c r="AP33" s="74"/>
      <c r="AR33" s="185" t="s">
        <v>41</v>
      </c>
      <c r="AS33" s="185"/>
      <c r="AT33" s="185"/>
      <c r="AU33" s="185"/>
      <c r="AV33" s="185"/>
      <c r="AW33" s="185"/>
      <c r="AY33" s="54"/>
      <c r="BA33" s="180" t="s">
        <v>42</v>
      </c>
      <c r="BB33" s="180"/>
      <c r="BC33" s="180"/>
      <c r="BD33" s="180"/>
      <c r="BE33" s="180"/>
      <c r="BF33" s="180"/>
      <c r="BG33" s="180"/>
      <c r="BH33" s="180"/>
      <c r="BI33" s="180"/>
      <c r="BJ33" s="180"/>
      <c r="BK33" s="21"/>
    </row>
    <row r="34" spans="1:63" ht="2.1" customHeight="1">
      <c r="A34" s="9"/>
      <c r="I34" s="10"/>
      <c r="J34" s="54"/>
      <c r="N34" s="54"/>
      <c r="V34" s="40"/>
      <c r="W34" s="40"/>
      <c r="X34" s="40"/>
      <c r="AO34" s="56"/>
      <c r="AR34" s="51"/>
      <c r="AS34" s="51"/>
      <c r="AT34" s="51"/>
      <c r="AU34" s="51"/>
      <c r="AV34" s="51"/>
      <c r="AW34" s="51"/>
      <c r="BC34" s="54"/>
      <c r="BK34" s="21"/>
    </row>
    <row r="35" spans="1:63" ht="10.5" customHeight="1">
      <c r="A35" s="9"/>
      <c r="I35" s="38"/>
      <c r="J35" s="54"/>
      <c r="N35" s="54"/>
      <c r="V35" s="40"/>
      <c r="W35" s="40"/>
      <c r="X35" s="40"/>
      <c r="AD35" s="179"/>
      <c r="AE35" s="179"/>
      <c r="AF35" s="179"/>
      <c r="AG35" s="179"/>
      <c r="AH35" s="179"/>
      <c r="AI35" s="179"/>
      <c r="AJ35" s="179"/>
      <c r="AK35" s="179"/>
      <c r="AL35" s="179"/>
      <c r="AO35" s="56"/>
      <c r="AP35" s="73"/>
      <c r="AR35" s="40" t="s">
        <v>43</v>
      </c>
      <c r="AS35" s="40"/>
      <c r="AT35" s="40"/>
      <c r="AU35" s="40"/>
      <c r="AV35" s="40"/>
      <c r="AW35" s="40"/>
      <c r="AY35" s="54"/>
      <c r="BA35" s="180" t="s">
        <v>44</v>
      </c>
      <c r="BB35" s="180"/>
      <c r="BC35" s="180"/>
      <c r="BD35" s="180"/>
      <c r="BE35" s="180"/>
      <c r="BF35" s="180"/>
      <c r="BG35" s="180"/>
      <c r="BH35" s="180"/>
      <c r="BI35" s="180"/>
      <c r="BJ35" s="180"/>
      <c r="BK35" s="21"/>
    </row>
    <row r="36" spans="1:63" ht="2.1" customHeight="1">
      <c r="A36" s="9"/>
      <c r="I36" s="10"/>
      <c r="J36" s="54"/>
      <c r="N36" s="54"/>
      <c r="V36" s="40"/>
      <c r="W36" s="40"/>
      <c r="X36" s="40"/>
      <c r="AO36" s="56"/>
      <c r="AR36" s="51"/>
      <c r="AS36" s="51"/>
      <c r="AT36" s="51"/>
      <c r="AU36" s="51"/>
      <c r="AV36" s="51"/>
      <c r="AW36" s="51"/>
      <c r="AY36" s="54"/>
      <c r="BK36" s="21"/>
    </row>
    <row r="37" spans="1:63" ht="10.5" customHeight="1">
      <c r="A37" s="9"/>
      <c r="I37" s="234" t="s">
        <v>62</v>
      </c>
      <c r="J37" s="235"/>
      <c r="K37" s="235"/>
      <c r="L37" s="235"/>
      <c r="M37" s="235"/>
      <c r="N37" s="235"/>
      <c r="O37" s="64"/>
      <c r="P37" s="64"/>
      <c r="Q37" s="236" t="s">
        <v>63</v>
      </c>
      <c r="R37" s="236"/>
      <c r="S37" s="236"/>
      <c r="T37" s="236"/>
      <c r="U37" s="236"/>
      <c r="V37" s="236"/>
      <c r="W37" s="236"/>
      <c r="X37" s="236"/>
      <c r="Y37" s="236"/>
      <c r="Z37" s="42"/>
      <c r="AA37" s="42"/>
      <c r="AD37" s="237" t="s">
        <v>64</v>
      </c>
      <c r="AE37" s="237"/>
      <c r="AF37" s="237"/>
      <c r="AG37" s="237"/>
      <c r="AH37" s="237"/>
      <c r="AI37" s="237"/>
      <c r="AJ37" s="237"/>
      <c r="AK37" s="237"/>
      <c r="AL37" s="237"/>
      <c r="AM37" s="237"/>
      <c r="AO37" s="56"/>
      <c r="AP37" s="62"/>
      <c r="AR37" s="51" t="s">
        <v>45</v>
      </c>
      <c r="AS37" s="51"/>
      <c r="AT37" s="51"/>
      <c r="AU37" s="51"/>
      <c r="AV37" s="51"/>
      <c r="AW37" s="51"/>
      <c r="AY37" s="54"/>
      <c r="BA37" s="180" t="s">
        <v>46</v>
      </c>
      <c r="BB37" s="180"/>
      <c r="BC37" s="180"/>
      <c r="BD37" s="180"/>
      <c r="BE37" s="180"/>
      <c r="BF37" s="180"/>
      <c r="BG37" s="180"/>
      <c r="BH37" s="180"/>
      <c r="BI37" s="180"/>
      <c r="BJ37" s="180"/>
      <c r="BK37" s="21"/>
    </row>
    <row r="38" spans="1:63" ht="10.5" customHeight="1" thickBot="1">
      <c r="A38" s="12"/>
      <c r="B38" s="13"/>
      <c r="C38" s="13"/>
      <c r="D38" s="14"/>
      <c r="E38" s="14"/>
      <c r="F38" s="14"/>
      <c r="G38" s="14"/>
      <c r="H38" s="14"/>
      <c r="I38" s="238" t="s">
        <v>47</v>
      </c>
      <c r="J38" s="239"/>
      <c r="K38" s="239"/>
      <c r="L38" s="239"/>
      <c r="M38" s="239"/>
      <c r="N38" s="239"/>
      <c r="O38" s="42"/>
      <c r="P38" s="42"/>
      <c r="Q38" s="240" t="s">
        <v>48</v>
      </c>
      <c r="R38" s="240"/>
      <c r="S38" s="240"/>
      <c r="T38" s="240"/>
      <c r="U38" s="240"/>
      <c r="V38" s="240"/>
      <c r="W38" s="240"/>
      <c r="X38" s="240"/>
      <c r="Y38" s="240"/>
      <c r="Z38" s="240"/>
      <c r="AA38" s="240"/>
      <c r="AB38" s="39"/>
      <c r="AC38" s="39"/>
      <c r="AD38" s="196" t="s">
        <v>50</v>
      </c>
      <c r="AE38" s="196"/>
      <c r="AF38" s="196"/>
      <c r="AG38" s="196"/>
      <c r="AH38" s="196"/>
      <c r="AI38" s="196"/>
      <c r="AJ38" s="196"/>
      <c r="AK38" s="196"/>
      <c r="AL38" s="196"/>
      <c r="AM38" s="196"/>
      <c r="AN38" s="39"/>
      <c r="AO38" s="65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  <c r="BJ38" s="43"/>
      <c r="BK38" s="66"/>
    </row>
    <row r="39" spans="1:63" ht="3.75" customHeight="1" thickBot="1">
      <c r="A39" s="12"/>
      <c r="B39" s="13"/>
      <c r="C39" s="13"/>
      <c r="D39" s="14"/>
      <c r="E39" s="14"/>
      <c r="F39" s="14"/>
      <c r="G39" s="14"/>
      <c r="H39" s="14"/>
      <c r="I39" s="230"/>
      <c r="J39" s="231"/>
      <c r="K39" s="231"/>
      <c r="L39" s="231"/>
      <c r="M39" s="231"/>
      <c r="N39" s="231"/>
      <c r="O39" s="231"/>
      <c r="P39" s="231"/>
      <c r="Q39" s="231"/>
      <c r="R39" s="67"/>
      <c r="S39" s="67"/>
      <c r="T39" s="67"/>
      <c r="U39" s="67"/>
      <c r="V39" s="68"/>
      <c r="W39" s="68"/>
      <c r="X39" s="68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67"/>
      <c r="AQ39" s="67"/>
      <c r="AR39" s="67"/>
      <c r="AS39" s="67"/>
      <c r="AT39" s="67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9"/>
    </row>
    <row r="40" spans="1:63" ht="10.5" customHeight="1">
      <c r="I40" s="232" t="s">
        <v>49</v>
      </c>
      <c r="J40" s="233"/>
      <c r="K40" s="233"/>
      <c r="L40" s="233"/>
      <c r="M40" s="233"/>
      <c r="N40" s="233"/>
      <c r="O40" s="233"/>
      <c r="P40" s="233"/>
      <c r="Q40" s="233"/>
      <c r="R40" s="233"/>
      <c r="S40" s="233"/>
      <c r="T40" s="233"/>
      <c r="U40" s="233"/>
      <c r="V40" s="233"/>
      <c r="W40" s="233"/>
      <c r="X40" s="233"/>
      <c r="Y40" s="233"/>
      <c r="Z40" s="233"/>
      <c r="AA40" s="233"/>
      <c r="AB40" s="233"/>
      <c r="AC40" s="233"/>
      <c r="AD40" s="233"/>
      <c r="AE40" s="233"/>
      <c r="AF40" s="233"/>
      <c r="AG40" s="233"/>
      <c r="AH40" s="233"/>
      <c r="AI40" s="233"/>
      <c r="AJ40" s="233"/>
      <c r="AK40" s="233"/>
      <c r="AL40" s="233"/>
      <c r="AM40" s="233"/>
      <c r="AN40" s="233"/>
      <c r="AO40" s="233"/>
      <c r="AP40" s="233"/>
      <c r="AQ40" s="233"/>
      <c r="AR40" s="233"/>
      <c r="AS40" s="233"/>
      <c r="AT40" s="233"/>
      <c r="AU40" s="233"/>
      <c r="AV40" s="233"/>
      <c r="AW40" s="233"/>
      <c r="AX40" s="233"/>
      <c r="AY40" s="233"/>
      <c r="AZ40" s="233"/>
      <c r="BA40" s="233"/>
      <c r="BB40" s="233"/>
      <c r="BC40" s="233"/>
      <c r="BD40" s="233"/>
      <c r="BE40" s="233"/>
      <c r="BF40" s="233"/>
      <c r="BG40" s="233"/>
      <c r="BH40" s="233"/>
      <c r="BI40" s="233"/>
      <c r="BJ40" s="233"/>
      <c r="BK40" s="233"/>
    </row>
    <row r="41" spans="1:63" ht="13.95" customHeight="1"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198"/>
      <c r="Y41" s="198"/>
      <c r="Z41" s="198"/>
      <c r="AA41" s="198"/>
      <c r="AB41" s="198"/>
      <c r="AC41" s="198"/>
      <c r="AD41" s="198"/>
      <c r="AE41" s="198"/>
      <c r="AF41" s="198"/>
      <c r="AG41" s="198"/>
      <c r="AH41" s="198"/>
      <c r="AI41" s="70"/>
      <c r="AJ41" s="70"/>
      <c r="AK41" s="70"/>
      <c r="AL41" s="70"/>
      <c r="AM41" s="198"/>
      <c r="AN41" s="198"/>
      <c r="AO41" s="198"/>
      <c r="AP41" s="198"/>
      <c r="AQ41" s="198"/>
      <c r="AR41" s="198"/>
      <c r="AS41" s="198"/>
      <c r="AT41" s="198"/>
      <c r="AU41" s="198"/>
      <c r="AV41" s="198"/>
      <c r="AW41" s="198"/>
      <c r="AX41" s="198"/>
      <c r="AY41" s="198"/>
      <c r="AZ41" s="198"/>
      <c r="BA41" s="198"/>
      <c r="BB41" s="198"/>
      <c r="BC41" s="198"/>
      <c r="BD41" s="198"/>
      <c r="BE41" s="198"/>
      <c r="BF41" s="198"/>
      <c r="BG41" s="198"/>
      <c r="BH41" s="198"/>
      <c r="BI41" s="198"/>
      <c r="BJ41" s="198"/>
    </row>
    <row r="42" spans="1:63" ht="13.95" customHeight="1"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198"/>
      <c r="V42" s="198"/>
      <c r="W42" s="198"/>
      <c r="X42" s="198"/>
      <c r="Y42" s="198"/>
      <c r="Z42" s="198"/>
      <c r="AA42" s="198"/>
      <c r="AB42" s="198"/>
      <c r="AC42" s="198"/>
      <c r="AD42" s="198"/>
      <c r="AE42" s="198"/>
      <c r="AF42" s="198"/>
      <c r="AG42" s="198"/>
      <c r="AH42" s="198"/>
      <c r="AI42" s="70"/>
      <c r="AJ42" s="70"/>
      <c r="AK42" s="70"/>
      <c r="AL42" s="70"/>
      <c r="AM42" s="198"/>
      <c r="AN42" s="198"/>
      <c r="AO42" s="198"/>
      <c r="AP42" s="198"/>
      <c r="AQ42" s="198"/>
      <c r="AR42" s="198"/>
      <c r="AS42" s="198"/>
      <c r="AT42" s="198"/>
      <c r="AU42" s="198"/>
      <c r="AV42" s="198"/>
      <c r="AW42" s="198"/>
      <c r="AX42" s="198"/>
      <c r="AY42" s="198"/>
      <c r="AZ42" s="198"/>
      <c r="BA42" s="198"/>
      <c r="BB42" s="198"/>
      <c r="BC42" s="198"/>
      <c r="BD42" s="198"/>
      <c r="BE42" s="198"/>
      <c r="BF42" s="198"/>
      <c r="BG42" s="198"/>
      <c r="BH42" s="198"/>
      <c r="BI42" s="198"/>
      <c r="BJ42" s="198"/>
    </row>
    <row r="44" spans="1:63" ht="13.95" customHeight="1">
      <c r="I44" s="71"/>
    </row>
  </sheetData>
  <mergeCells count="184">
    <mergeCell ref="AD38:AM38"/>
    <mergeCell ref="BN11:BN12"/>
    <mergeCell ref="BO11:BO12"/>
    <mergeCell ref="BP11:BP12"/>
    <mergeCell ref="K41:AH42"/>
    <mergeCell ref="AM41:BJ42"/>
    <mergeCell ref="AO26:BK27"/>
    <mergeCell ref="I5:M6"/>
    <mergeCell ref="O5:AR6"/>
    <mergeCell ref="M11:AC12"/>
    <mergeCell ref="I11:J12"/>
    <mergeCell ref="K11:L12"/>
    <mergeCell ref="BB11:BK12"/>
    <mergeCell ref="I39:Q39"/>
    <mergeCell ref="I40:BK40"/>
    <mergeCell ref="I37:N37"/>
    <mergeCell ref="Q37:Y37"/>
    <mergeCell ref="AD37:AM37"/>
    <mergeCell ref="BA37:BJ37"/>
    <mergeCell ref="I38:N38"/>
    <mergeCell ref="Q38:AA38"/>
    <mergeCell ref="AL24:AO24"/>
    <mergeCell ref="AP24:AS24"/>
    <mergeCell ref="A11:A12"/>
    <mergeCell ref="B11:B12"/>
    <mergeCell ref="C11:C12"/>
    <mergeCell ref="D11:D12"/>
    <mergeCell ref="N5:N6"/>
    <mergeCell ref="BL11:BL12"/>
    <mergeCell ref="BM11:BM12"/>
    <mergeCell ref="AD35:AL35"/>
    <mergeCell ref="BA35:BJ35"/>
    <mergeCell ref="S27:AA27"/>
    <mergeCell ref="AD27:AL27"/>
    <mergeCell ref="M29:N29"/>
    <mergeCell ref="V29:W29"/>
    <mergeCell ref="AO29:AZ29"/>
    <mergeCell ref="AR31:AZ31"/>
    <mergeCell ref="BA31:BJ31"/>
    <mergeCell ref="AR33:AW33"/>
    <mergeCell ref="BA33:BJ33"/>
    <mergeCell ref="BB23:BK23"/>
    <mergeCell ref="I24:J24"/>
    <mergeCell ref="K24:L24"/>
    <mergeCell ref="M24:AC24"/>
    <mergeCell ref="AD24:AG24"/>
    <mergeCell ref="AH24:AK24"/>
    <mergeCell ref="AT24:AW24"/>
    <mergeCell ref="AX24:BA24"/>
    <mergeCell ref="BB24:BK24"/>
    <mergeCell ref="I23:J23"/>
    <mergeCell ref="K23:L23"/>
    <mergeCell ref="M23:AC23"/>
    <mergeCell ref="AD23:AG23"/>
    <mergeCell ref="AH23:AK23"/>
    <mergeCell ref="AL23:AO23"/>
    <mergeCell ref="AP23:AS23"/>
    <mergeCell ref="AT23:AW23"/>
    <mergeCell ref="AX23:BA23"/>
    <mergeCell ref="BB21:BK21"/>
    <mergeCell ref="I22:J22"/>
    <mergeCell ref="K22:L22"/>
    <mergeCell ref="M22:AC22"/>
    <mergeCell ref="AD22:AG22"/>
    <mergeCell ref="AH22:AK22"/>
    <mergeCell ref="AL22:AO22"/>
    <mergeCell ref="AP22:AS22"/>
    <mergeCell ref="AT22:AW22"/>
    <mergeCell ref="AX22:BA22"/>
    <mergeCell ref="BB22:BK22"/>
    <mergeCell ref="I21:J21"/>
    <mergeCell ref="K21:L21"/>
    <mergeCell ref="M21:AC21"/>
    <mergeCell ref="AD21:AG21"/>
    <mergeCell ref="AH21:AK21"/>
    <mergeCell ref="AL21:AO21"/>
    <mergeCell ref="AP21:AS21"/>
    <mergeCell ref="AT21:AW21"/>
    <mergeCell ref="AX21:BA21"/>
    <mergeCell ref="BB19:BK19"/>
    <mergeCell ref="I20:J20"/>
    <mergeCell ref="K20:L20"/>
    <mergeCell ref="M20:AC20"/>
    <mergeCell ref="AD20:AG20"/>
    <mergeCell ref="AH20:AK20"/>
    <mergeCell ref="AL20:AO20"/>
    <mergeCell ref="AP20:AS20"/>
    <mergeCell ref="AT20:AW20"/>
    <mergeCell ref="AX20:BA20"/>
    <mergeCell ref="BB20:BK20"/>
    <mergeCell ref="I19:J19"/>
    <mergeCell ref="K19:L19"/>
    <mergeCell ref="M19:AC19"/>
    <mergeCell ref="AD19:AG19"/>
    <mergeCell ref="AH19:AK19"/>
    <mergeCell ref="AL19:AO19"/>
    <mergeCell ref="AP19:AS19"/>
    <mergeCell ref="AT19:AW19"/>
    <mergeCell ref="AX19:BA19"/>
    <mergeCell ref="BB17:BK17"/>
    <mergeCell ref="I18:J18"/>
    <mergeCell ref="K18:L18"/>
    <mergeCell ref="M18:AC18"/>
    <mergeCell ref="AD18:AG18"/>
    <mergeCell ref="AH18:AK18"/>
    <mergeCell ref="AL18:AO18"/>
    <mergeCell ref="AP18:AS18"/>
    <mergeCell ref="AT18:AW18"/>
    <mergeCell ref="AX18:BA18"/>
    <mergeCell ref="BB18:BK18"/>
    <mergeCell ref="I17:J17"/>
    <mergeCell ref="K17:L17"/>
    <mergeCell ref="M17:AC17"/>
    <mergeCell ref="AD17:AG17"/>
    <mergeCell ref="AH17:AK17"/>
    <mergeCell ref="AL17:AO17"/>
    <mergeCell ref="AP17:AS17"/>
    <mergeCell ref="AT17:AW17"/>
    <mergeCell ref="AX17:BA17"/>
    <mergeCell ref="BB15:BK15"/>
    <mergeCell ref="I16:J16"/>
    <mergeCell ref="K16:L16"/>
    <mergeCell ref="M16:AC16"/>
    <mergeCell ref="AH16:AK16"/>
    <mergeCell ref="AL16:AO16"/>
    <mergeCell ref="AP16:AS16"/>
    <mergeCell ref="AT16:AW16"/>
    <mergeCell ref="AX16:BA16"/>
    <mergeCell ref="BB16:BK16"/>
    <mergeCell ref="I15:J15"/>
    <mergeCell ref="K15:L15"/>
    <mergeCell ref="M15:AC15"/>
    <mergeCell ref="AH15:AK15"/>
    <mergeCell ref="AL15:AO15"/>
    <mergeCell ref="AP15:AS15"/>
    <mergeCell ref="AT15:AW15"/>
    <mergeCell ref="AX15:BA15"/>
    <mergeCell ref="AD15:AG15"/>
    <mergeCell ref="AD16:AG16"/>
    <mergeCell ref="BB13:BK13"/>
    <mergeCell ref="I14:J14"/>
    <mergeCell ref="K14:L14"/>
    <mergeCell ref="M14:AC14"/>
    <mergeCell ref="AP14:AS14"/>
    <mergeCell ref="AT14:AW14"/>
    <mergeCell ref="AX14:BA14"/>
    <mergeCell ref="BB14:BK14"/>
    <mergeCell ref="I13:J13"/>
    <mergeCell ref="K13:L13"/>
    <mergeCell ref="M13:AC13"/>
    <mergeCell ref="AP13:AS13"/>
    <mergeCell ref="AT13:AW13"/>
    <mergeCell ref="AX13:BA13"/>
    <mergeCell ref="AH13:AK13"/>
    <mergeCell ref="AL13:AO13"/>
    <mergeCell ref="AH14:AK14"/>
    <mergeCell ref="AL14:AO14"/>
    <mergeCell ref="AD13:AG13"/>
    <mergeCell ref="AD14:AG14"/>
    <mergeCell ref="AD12:AG12"/>
    <mergeCell ref="AH12:AK12"/>
    <mergeCell ref="AL12:AO12"/>
    <mergeCell ref="AP12:AS12"/>
    <mergeCell ref="AT12:AW12"/>
    <mergeCell ref="AX12:BA12"/>
    <mergeCell ref="AS1:AZ1"/>
    <mergeCell ref="BB1:BK1"/>
    <mergeCell ref="AS2:AZ2"/>
    <mergeCell ref="BB2:BK2"/>
    <mergeCell ref="AS3:AZ3"/>
    <mergeCell ref="BB3:BK3"/>
    <mergeCell ref="AS4:AZ4"/>
    <mergeCell ref="BB4:BK4"/>
    <mergeCell ref="AS5:AZ5"/>
    <mergeCell ref="BB5:BK5"/>
    <mergeCell ref="I1:AR4"/>
    <mergeCell ref="AS6:AZ6"/>
    <mergeCell ref="BB6:BK6"/>
    <mergeCell ref="T8:AE8"/>
    <mergeCell ref="AW8:BH8"/>
    <mergeCell ref="T9:AE9"/>
    <mergeCell ref="AW9:BH9"/>
    <mergeCell ref="AD11:AO11"/>
    <mergeCell ref="AP11:BA11"/>
  </mergeCells>
  <dataValidations count="1">
    <dataValidation type="list" allowBlank="1" showInputMessage="1" showErrorMessage="1" sqref="AD35:AL35 AD37" xr:uid="{00000000-0002-0000-0000-000000000000}">
      <formula1>EMPLOYEES</formula1>
    </dataValidation>
  </dataValidations>
  <pageMargins left="0.23622047244094499" right="0.23622047244094499" top="0.27559055118110198" bottom="0.31496062992126" header="0.31496062992126" footer="0.31496062992126"/>
  <pageSetup paperSize="9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pick up supplies q2</vt:lpstr>
      <vt:lpstr>'pick up supplies q2'!Print_Area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IMPEX STAFF</dc:creator>
  <cp:lastModifiedBy>SMEI ADMIN - Angge</cp:lastModifiedBy>
  <cp:lastPrinted>2026-06-03T18:02:20Z</cp:lastPrinted>
  <dcterms:created xsi:type="dcterms:W3CDTF">2024-09-03T01:53:00Z</dcterms:created>
  <dcterms:modified xsi:type="dcterms:W3CDTF">2026-07-01T18:19:18Z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6931196AE1C347ADB5C2D7C921F448DC_13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