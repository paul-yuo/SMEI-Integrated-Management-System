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30228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ocum\Downloads\public\templates\"/>
    </mc:Choice>
  </mc:AlternateContent>
  <xr:revisionPtr revIDLastSave="0" documentId="13_ncr:1_{2DBFAF5A-BA52-4BFD-ADEA-ED2A99497318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04-2026" sheetId="78" r:id="rId1"/>
    <sheet name="07-2026" sheetId="84" r:id="rId2"/>
  </sheets>
  <definedNames>
    <definedName name="_xlnm.Print_Area" localSheetId="0">'04-2026'!$A$1:$Q$103</definedName>
    <definedName name="_xlnm.Print_Area" localSheetId="1">'07-2026'!$A$1:$Q$53</definedName>
    <definedName name="_xlnm.Print_Titles" localSheetId="0">'04-2026'!$1:$4</definedName>
    <definedName name="_xlnm.Print_Titles" localSheetId="1">'07-2026'!$1:$4</definedName>
    <definedName name="solver_adj" localSheetId="0" hidden="1">'04-2026'!$F$120:$F$162</definedName>
    <definedName name="solver_adj" localSheetId="1" hidden="1">'07-2026'!$F$70:$F$112</definedName>
    <definedName name="solver_cvg" localSheetId="0" hidden="1">0.0001</definedName>
    <definedName name="solver_cvg" localSheetId="1" hidden="1">0.0001</definedName>
    <definedName name="solver_drv" localSheetId="0" hidden="1">2</definedName>
    <definedName name="solver_drv" localSheetId="1" hidden="1">2</definedName>
    <definedName name="solver_eng" localSheetId="0" hidden="1">1</definedName>
    <definedName name="solver_eng" localSheetId="1" hidden="1">1</definedName>
    <definedName name="solver_est" localSheetId="0" hidden="1">1</definedName>
    <definedName name="solver_est" localSheetId="1" hidden="1">1</definedName>
    <definedName name="solver_itr" localSheetId="0" hidden="1">2147483647</definedName>
    <definedName name="solver_itr" localSheetId="1" hidden="1">2147483647</definedName>
    <definedName name="solver_lhs1" localSheetId="0" hidden="1">'04-2026'!$F$120:$F$162</definedName>
    <definedName name="solver_lhs1" localSheetId="1" hidden="1">'07-2026'!$F$70:$F$112</definedName>
    <definedName name="solver_mip" localSheetId="0" hidden="1">2147483647</definedName>
    <definedName name="solver_mip" localSheetId="1" hidden="1">2147483647</definedName>
    <definedName name="solver_mni" localSheetId="0" hidden="1">30</definedName>
    <definedName name="solver_mni" localSheetId="1" hidden="1">30</definedName>
    <definedName name="solver_mrt" localSheetId="0" hidden="1">0.075</definedName>
    <definedName name="solver_mrt" localSheetId="1" hidden="1">0.075</definedName>
    <definedName name="solver_msl" localSheetId="0" hidden="1">2</definedName>
    <definedName name="solver_msl" localSheetId="1" hidden="1">2</definedName>
    <definedName name="solver_neg" localSheetId="0" hidden="1">1</definedName>
    <definedName name="solver_neg" localSheetId="1" hidden="1">1</definedName>
    <definedName name="solver_nod" localSheetId="0" hidden="1">2147483647</definedName>
    <definedName name="solver_nod" localSheetId="1" hidden="1">2147483647</definedName>
    <definedName name="solver_num" localSheetId="0" hidden="1">1</definedName>
    <definedName name="solver_num" localSheetId="1" hidden="1">1</definedName>
    <definedName name="solver_nwt" localSheetId="0" hidden="1">1</definedName>
    <definedName name="solver_nwt" localSheetId="1" hidden="1">1</definedName>
    <definedName name="solver_opt" localSheetId="0" hidden="1">'04-2026'!$F$163</definedName>
    <definedName name="solver_opt" localSheetId="1" hidden="1">'07-2026'!$F$113</definedName>
    <definedName name="solver_pre" localSheetId="0" hidden="1">0.000001</definedName>
    <definedName name="solver_pre" localSheetId="1" hidden="1">0.000001</definedName>
    <definedName name="solver_rbv" localSheetId="0" hidden="1">2</definedName>
    <definedName name="solver_rbv" localSheetId="1" hidden="1">2</definedName>
    <definedName name="solver_rel1" localSheetId="0" hidden="1">5</definedName>
    <definedName name="solver_rel1" localSheetId="1" hidden="1">5</definedName>
    <definedName name="solver_rhs1" localSheetId="0" hidden="1">"binary"</definedName>
    <definedName name="solver_rhs1" localSheetId="1" hidden="1">"binary"</definedName>
    <definedName name="solver_rlx" localSheetId="0" hidden="1">2</definedName>
    <definedName name="solver_rlx" localSheetId="1" hidden="1">2</definedName>
    <definedName name="solver_rsd" localSheetId="0" hidden="1">0</definedName>
    <definedName name="solver_rsd" localSheetId="1" hidden="1">0</definedName>
    <definedName name="solver_scl" localSheetId="0" hidden="1">2</definedName>
    <definedName name="solver_scl" localSheetId="1" hidden="1">2</definedName>
    <definedName name="solver_sho" localSheetId="0" hidden="1">2</definedName>
    <definedName name="solver_sho" localSheetId="1" hidden="1">2</definedName>
    <definedName name="solver_ssz" localSheetId="0" hidden="1">100</definedName>
    <definedName name="solver_ssz" localSheetId="1" hidden="1">100</definedName>
    <definedName name="solver_tim" localSheetId="0" hidden="1">2147483647</definedName>
    <definedName name="solver_tim" localSheetId="1" hidden="1">2147483647</definedName>
    <definedName name="solver_tol" localSheetId="0" hidden="1">0.01</definedName>
    <definedName name="solver_tol" localSheetId="1" hidden="1">0.01</definedName>
    <definedName name="solver_typ" localSheetId="0" hidden="1">3</definedName>
    <definedName name="solver_typ" localSheetId="1" hidden="1">3</definedName>
    <definedName name="solver_val" localSheetId="0" hidden="1">48856.07</definedName>
    <definedName name="solver_val" localSheetId="1" hidden="1">48856.07</definedName>
    <definedName name="solver_ver" localSheetId="0" hidden="1">3</definedName>
    <definedName name="solver_ver" localSheetId="1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50" i="84" l="1"/>
  <c r="O42" i="84" l="1"/>
  <c r="E44" i="84"/>
  <c r="O41" i="84"/>
  <c r="T40" i="84"/>
  <c r="O40" i="84"/>
  <c r="O39" i="84"/>
  <c r="O38" i="84"/>
  <c r="O37" i="84"/>
  <c r="O28" i="84"/>
  <c r="O29" i="84"/>
  <c r="O30" i="84"/>
  <c r="O31" i="84"/>
  <c r="O32" i="84"/>
  <c r="O33" i="84"/>
  <c r="O34" i="84"/>
  <c r="O35" i="84"/>
  <c r="O36" i="84"/>
  <c r="O27" i="84"/>
  <c r="O23" i="84"/>
  <c r="O21" i="84"/>
  <c r="O20" i="84"/>
  <c r="O19" i="84"/>
  <c r="O18" i="84"/>
  <c r="O17" i="84"/>
  <c r="O16" i="84"/>
  <c r="O15" i="84"/>
  <c r="O14" i="84"/>
  <c r="O13" i="84"/>
  <c r="O12" i="84"/>
  <c r="O11" i="84"/>
  <c r="O10" i="84"/>
  <c r="O9" i="84"/>
  <c r="O8" i="84"/>
  <c r="O7" i="84"/>
  <c r="O6" i="84"/>
  <c r="N44" i="84"/>
  <c r="M44" i="84"/>
  <c r="L44" i="84"/>
  <c r="K44" i="84"/>
  <c r="J44" i="84"/>
  <c r="I44" i="84"/>
  <c r="H44" i="84"/>
  <c r="E45" i="84" s="1"/>
  <c r="O44" i="84" l="1"/>
  <c r="E47" i="84"/>
  <c r="O64" i="78" l="1"/>
  <c r="E96" i="78"/>
  <c r="E95" i="78"/>
  <c r="E97" i="78" s="1"/>
  <c r="N94" i="78"/>
  <c r="M94" i="78"/>
  <c r="K94" i="78"/>
  <c r="J94" i="78"/>
  <c r="I94" i="78"/>
  <c r="H94" i="78"/>
  <c r="E94" i="78"/>
  <c r="O93" i="78"/>
  <c r="O92" i="78"/>
  <c r="O91" i="78"/>
  <c r="O90" i="78"/>
  <c r="O89" i="78"/>
  <c r="O88" i="78"/>
  <c r="O87" i="78"/>
  <c r="O86" i="78"/>
  <c r="O85" i="78"/>
  <c r="O84" i="78"/>
  <c r="O83" i="78"/>
  <c r="W82" i="78"/>
  <c r="O82" i="78"/>
  <c r="W81" i="78"/>
  <c r="O81" i="78"/>
  <c r="O80" i="78"/>
  <c r="O79" i="78"/>
  <c r="O78" i="78"/>
  <c r="O77" i="78"/>
  <c r="O76" i="78"/>
  <c r="O75" i="78"/>
  <c r="O74" i="78"/>
  <c r="O73" i="78"/>
  <c r="S93" i="78" s="1"/>
  <c r="O72" i="78"/>
  <c r="O71" i="78"/>
  <c r="O70" i="78"/>
  <c r="O69" i="78"/>
  <c r="O68" i="78"/>
  <c r="O67" i="78"/>
  <c r="O66" i="78"/>
  <c r="O65" i="78"/>
  <c r="O63" i="78"/>
  <c r="O62" i="78"/>
  <c r="O61" i="78"/>
  <c r="O60" i="78"/>
  <c r="O59" i="78"/>
  <c r="O58" i="78"/>
  <c r="O57" i="78"/>
  <c r="O56" i="78"/>
  <c r="O55" i="78"/>
  <c r="O54" i="78"/>
  <c r="O53" i="78"/>
  <c r="O52" i="78"/>
  <c r="O51" i="78"/>
  <c r="O50" i="78"/>
  <c r="O49" i="78"/>
  <c r="O48" i="78"/>
  <c r="O47" i="78"/>
  <c r="O46" i="78"/>
  <c r="O45" i="78"/>
  <c r="O44" i="78"/>
  <c r="O43" i="78"/>
  <c r="O42" i="78"/>
  <c r="O41" i="78"/>
  <c r="O40" i="78"/>
  <c r="O39" i="78"/>
  <c r="O38" i="78"/>
  <c r="O37" i="78"/>
  <c r="O36" i="78"/>
  <c r="O35" i="78"/>
  <c r="O34" i="78"/>
  <c r="L33" i="78"/>
  <c r="O33" i="78" s="1"/>
  <c r="O32" i="78"/>
  <c r="O31" i="78"/>
  <c r="O30" i="78"/>
  <c r="O29" i="78"/>
  <c r="O28" i="78"/>
  <c r="O27" i="78"/>
  <c r="O26" i="78"/>
  <c r="O25" i="78"/>
  <c r="O24" i="78"/>
  <c r="O23" i="78"/>
  <c r="O22" i="78"/>
  <c r="O21" i="78"/>
  <c r="O20" i="78"/>
  <c r="O19" i="78"/>
  <c r="O18" i="78"/>
  <c r="O17" i="78"/>
  <c r="O16" i="78"/>
  <c r="O15" i="78"/>
  <c r="O14" i="78"/>
  <c r="O13" i="78"/>
  <c r="O12" i="78"/>
  <c r="O11" i="78"/>
  <c r="O10" i="78"/>
  <c r="O9" i="78"/>
  <c r="O8" i="78"/>
  <c r="O7" i="78"/>
  <c r="O6" i="78"/>
  <c r="S72" i="78" s="1"/>
  <c r="O94" i="78" l="1"/>
  <c r="L94" i="78"/>
</calcChain>
</file>

<file path=xl/sharedStrings.xml><?xml version="1.0" encoding="utf-8"?>
<sst xmlns="http://schemas.openxmlformats.org/spreadsheetml/2006/main" count="867" uniqueCount="495">
  <si>
    <t xml:space="preserve"> Types of Waste</t>
  </si>
  <si>
    <t>Waste Generator</t>
  </si>
  <si>
    <t>Date of Transport/ Delivery Date</t>
  </si>
  <si>
    <t>Transport Permit No.</t>
  </si>
  <si>
    <t>Quantity (kgs)</t>
  </si>
  <si>
    <t>Control Number</t>
  </si>
  <si>
    <t>Manifest Number</t>
  </si>
  <si>
    <t>Previous Balance</t>
  </si>
  <si>
    <t>22-Nov-23</t>
  </si>
  <si>
    <t>Dis-assy</t>
  </si>
  <si>
    <t>Balance</t>
  </si>
  <si>
    <t>Certificate of Treatment</t>
  </si>
  <si>
    <t>Recycling Cert. No.</t>
  </si>
  <si>
    <t>WEEE</t>
  </si>
  <si>
    <t>Danam Philippines, Inc.</t>
  </si>
  <si>
    <t xml:space="preserve">Ibiden Philippines, Inc. </t>
  </si>
  <si>
    <t>N/A</t>
  </si>
  <si>
    <t xml:space="preserve">Mitsumi Philippines, Inc. </t>
  </si>
  <si>
    <t>American Power Conversion Corporation - B.V - CAVITE 5/CCS</t>
  </si>
  <si>
    <t>Denso Philippines Corporation</t>
  </si>
  <si>
    <t>OL-P-R4A-21-172383</t>
  </si>
  <si>
    <t>Rohm Electronics Philippines Inc.</t>
  </si>
  <si>
    <t>Tsukiden Electronics Phils. Inc.</t>
  </si>
  <si>
    <t>OL-P-R4A-21-174837</t>
  </si>
  <si>
    <t>Nidec Precision Philippines Corporation Plant 1</t>
  </si>
  <si>
    <t>Astec Power Philippines, Inc. - LAGUNA</t>
  </si>
  <si>
    <t>Astec Power Philippines, Inc. - CEZ</t>
  </si>
  <si>
    <t>Siix Ems Philippines, Inc.</t>
  </si>
  <si>
    <t>Sanyo Denki Philippines, Inc.</t>
  </si>
  <si>
    <t>OL-P-R4A-21-175607</t>
  </si>
  <si>
    <t>American Power Conversion Corporation - B.V - CAVITE 2</t>
  </si>
  <si>
    <t>Artesyn Embedded Technologies Phils. Inc. - EASTWOOD</t>
  </si>
  <si>
    <t>OCM</t>
  </si>
  <si>
    <t>Parts Seiko Philippines Inc. - FACTORY 3</t>
  </si>
  <si>
    <t>Parts Seiko Philippines Inc. - FACTORY 1</t>
  </si>
  <si>
    <t>Sumitronics Phils., Inc.</t>
  </si>
  <si>
    <t>OL-P-R4A-21-178037</t>
  </si>
  <si>
    <t>Cebu Mitsumi, Inc.</t>
  </si>
  <si>
    <t>TOTAL QUANTITY</t>
  </si>
  <si>
    <t>Total</t>
  </si>
  <si>
    <t>APRILYN J. ROGADOR</t>
  </si>
  <si>
    <t>AGNES C. VALLEJO</t>
  </si>
  <si>
    <t>Director</t>
  </si>
  <si>
    <t xml:space="preserve"> </t>
  </si>
  <si>
    <t>HANWA</t>
  </si>
  <si>
    <t>DAEHEUNG</t>
  </si>
  <si>
    <t>VALIDITY</t>
  </si>
  <si>
    <t>Brother Industries (Philippines.), Inc.</t>
  </si>
  <si>
    <t>OL-P-R4A-21-180990</t>
  </si>
  <si>
    <t>OL-P-R4A-21-181979</t>
  </si>
  <si>
    <t>OL-P-R4A-21-180421</t>
  </si>
  <si>
    <t>American Power Conversion Corporation - B.V - ADMIN</t>
  </si>
  <si>
    <t>OL-P-R4A-21-182877</t>
  </si>
  <si>
    <t>OL-P-R4A-21-180451</t>
  </si>
  <si>
    <t>OL-P-R4A-21-183107</t>
  </si>
  <si>
    <t>JX CIRCULAR</t>
  </si>
  <si>
    <t>Column3</t>
  </si>
  <si>
    <t>OL-P-R4A-21-184398</t>
  </si>
  <si>
    <t>OL-P-R4A-21-183917</t>
  </si>
  <si>
    <t>02-1183-26</t>
  </si>
  <si>
    <t>M-R4A-2026-02-573606</t>
  </si>
  <si>
    <t>CRD-02-1204-26</t>
  </si>
  <si>
    <t>R-866</t>
  </si>
  <si>
    <t>02-1187-26</t>
  </si>
  <si>
    <t>M-R4A-2026-02-574563</t>
  </si>
  <si>
    <t>CRD-02-1208-26</t>
  </si>
  <si>
    <t>R-868</t>
  </si>
  <si>
    <t>02-1188-26</t>
  </si>
  <si>
    <t>M-R4A-2026-02-574564</t>
  </si>
  <si>
    <t>CRD-02-1209-26</t>
  </si>
  <si>
    <t>R-869</t>
  </si>
  <si>
    <t>OL-P-R4A-21-185581</t>
  </si>
  <si>
    <t>02-1189-26</t>
  </si>
  <si>
    <t>M-R4A-2026-02-575007</t>
  </si>
  <si>
    <t>CRD-02-1210-26</t>
  </si>
  <si>
    <t>02-1190-26</t>
  </si>
  <si>
    <t>M-R4A-2026-02-575909</t>
  </si>
  <si>
    <t>CRD-02-1211-26</t>
  </si>
  <si>
    <t>R-870</t>
  </si>
  <si>
    <t>02-1191-26</t>
  </si>
  <si>
    <t>M-R4A-2026-02-576288</t>
  </si>
  <si>
    <t>CRD-02-1212-26</t>
  </si>
  <si>
    <t>R-871</t>
  </si>
  <si>
    <t>02-1192-26</t>
  </si>
  <si>
    <t>M-R4A-2026-02-576289</t>
  </si>
  <si>
    <t>CRD-02-1213-26</t>
  </si>
  <si>
    <t>R-872</t>
  </si>
  <si>
    <t>02-1193-26</t>
  </si>
  <si>
    <t>M-R3-2026-02-551428</t>
  </si>
  <si>
    <t>CRD-02-1214-26</t>
  </si>
  <si>
    <t>R-873</t>
  </si>
  <si>
    <t>02-1195-26</t>
  </si>
  <si>
    <t>M-R4A-2026-02-578553</t>
  </si>
  <si>
    <t>CRD-02-1216-26</t>
  </si>
  <si>
    <t>R-875</t>
  </si>
  <si>
    <t>02-1196-26</t>
  </si>
  <si>
    <t>M-R4A-2026-02-579280</t>
  </si>
  <si>
    <t>CRD-02-1217-26</t>
  </si>
  <si>
    <t>02-1197-26</t>
  </si>
  <si>
    <t>M-R4A-2026-02-579629</t>
  </si>
  <si>
    <t>CRD-02-1218-26</t>
  </si>
  <si>
    <t>R-876</t>
  </si>
  <si>
    <t>02-1199-26</t>
  </si>
  <si>
    <t>M-R4A-2026-02-580151</t>
  </si>
  <si>
    <t>CRD-02-1220-26</t>
  </si>
  <si>
    <t>Toshiba Information Equipment (Philippines), Inc. - (TIP-LTI MAIN)</t>
  </si>
  <si>
    <t>02-1200-26</t>
  </si>
  <si>
    <t>M-R4A-2026-02-581032</t>
  </si>
  <si>
    <t>CRD-02-1221-26</t>
  </si>
  <si>
    <t>02-1201-26</t>
  </si>
  <si>
    <t>M-R4A-2026-581043</t>
  </si>
  <si>
    <t>CRD-02-1222-26</t>
  </si>
  <si>
    <t>R-878</t>
  </si>
  <si>
    <t>02-1203-26</t>
  </si>
  <si>
    <t>M-R4A-2026-02-581496</t>
  </si>
  <si>
    <t>CRD-02-1224-26</t>
  </si>
  <si>
    <t>02-1204-26</t>
  </si>
  <si>
    <t>M-R4A-2026-02-581498</t>
  </si>
  <si>
    <t>CRD-02-1225-26</t>
  </si>
  <si>
    <t>02-1206-26</t>
  </si>
  <si>
    <t>M-R4A-2026-02-581803</t>
  </si>
  <si>
    <t>CRD-02-1227-26</t>
  </si>
  <si>
    <t>R-880</t>
  </si>
  <si>
    <t>I104</t>
  </si>
  <si>
    <t>R-881</t>
  </si>
  <si>
    <t>OL-P-R4A-21-185985</t>
  </si>
  <si>
    <t>02-1208-26</t>
  </si>
  <si>
    <t>M-R4A-2026-02-582873</t>
  </si>
  <si>
    <t>CRD-02-1229-26</t>
  </si>
  <si>
    <t>ENGR. LEAH V. ANGELES</t>
  </si>
  <si>
    <t>03-1209-26</t>
  </si>
  <si>
    <t>M-R4A-2026-03-583571</t>
  </si>
  <si>
    <t>CRD-03-1230-26</t>
  </si>
  <si>
    <t>R-882</t>
  </si>
  <si>
    <t>03-1210-26</t>
  </si>
  <si>
    <t>M-R4A-2026-03-584060</t>
  </si>
  <si>
    <t>CRD-03-1231-26</t>
  </si>
  <si>
    <t>R-883</t>
  </si>
  <si>
    <t>03-1211-26</t>
  </si>
  <si>
    <t>M-R4A-2026-03-584922</t>
  </si>
  <si>
    <t>CRD-03-1232-26</t>
  </si>
  <si>
    <t>R-884</t>
  </si>
  <si>
    <t>Epson Precision (Philippines), Inc.</t>
  </si>
  <si>
    <t>OL-P-R4A-21-181529</t>
  </si>
  <si>
    <t>03-1212-26</t>
  </si>
  <si>
    <t>M-R4A-2026-03-584792</t>
  </si>
  <si>
    <t>CRD-03-1233-26</t>
  </si>
  <si>
    <t>03-1213-26</t>
  </si>
  <si>
    <t>M-R4A-2026-03-584852</t>
  </si>
  <si>
    <t>CRD-03-1234-36</t>
  </si>
  <si>
    <t>R-885</t>
  </si>
  <si>
    <t>OL-P-R4A-21-185351</t>
  </si>
  <si>
    <t>03-1214-26</t>
  </si>
  <si>
    <t>M-R4A-2026-03-585058</t>
  </si>
  <si>
    <t>CRD-03-1235-26</t>
  </si>
  <si>
    <t>R-886</t>
  </si>
  <si>
    <t>03-1215-26</t>
  </si>
  <si>
    <t>M-R4A-2026-03-585406</t>
  </si>
  <si>
    <t>CRD-03-1236-26</t>
  </si>
  <si>
    <t>03-1216-26</t>
  </si>
  <si>
    <t>M-R4A-2026-03-585430</t>
  </si>
  <si>
    <t>CRD-03-1237-26</t>
  </si>
  <si>
    <t>R-887</t>
  </si>
  <si>
    <t>03-1217-26</t>
  </si>
  <si>
    <t>M-R4A-2026-03-585449</t>
  </si>
  <si>
    <t>CRD-03-1238-26</t>
  </si>
  <si>
    <t>03-1218-26</t>
  </si>
  <si>
    <t>M-R4A-2026-03-586292</t>
  </si>
  <si>
    <t>CRD-03-1239-26</t>
  </si>
  <si>
    <t>R-888</t>
  </si>
  <si>
    <t>03-1219-26</t>
  </si>
  <si>
    <t>M-R4A-2026-03-586533</t>
  </si>
  <si>
    <t>CRD-03-1240-26</t>
  </si>
  <si>
    <t>R-889</t>
  </si>
  <si>
    <t>03-1220-26</t>
  </si>
  <si>
    <t>M-R4A-2026-03-586997</t>
  </si>
  <si>
    <t>CRD-03-1241-26</t>
  </si>
  <si>
    <t>R-890</t>
  </si>
  <si>
    <t>03-1221-26</t>
  </si>
  <si>
    <t>M-R4A-2026-03-587057</t>
  </si>
  <si>
    <t>CRD-03-1242-26</t>
  </si>
  <si>
    <t>R-891</t>
  </si>
  <si>
    <t>OL-P-R4A-21-187162</t>
  </si>
  <si>
    <t>03-1222-26</t>
  </si>
  <si>
    <t>M-R4A-2026-03-587144</t>
  </si>
  <si>
    <t>CRD-03-1243-26</t>
  </si>
  <si>
    <t>R-892</t>
  </si>
  <si>
    <t>OL-P-R4A-21-183012</t>
  </si>
  <si>
    <t>03-1223-26</t>
  </si>
  <si>
    <t>M-R4A-2026-03-587363</t>
  </si>
  <si>
    <t>CRD-03-1244-26</t>
  </si>
  <si>
    <t>R-893</t>
  </si>
  <si>
    <t>03-1224-26</t>
  </si>
  <si>
    <t>M-R4A-2026-03-588681</t>
  </si>
  <si>
    <t>CRD-03-1245-26</t>
  </si>
  <si>
    <t>R-894</t>
  </si>
  <si>
    <t>03-1225-26</t>
  </si>
  <si>
    <t>M-R4A-2026-03-588909</t>
  </si>
  <si>
    <t>CRD-03-1246-26</t>
  </si>
  <si>
    <t>03-1226-26</t>
  </si>
  <si>
    <t>M-R4A-2026-03-589393</t>
  </si>
  <si>
    <t>CRD-03-1247-26</t>
  </si>
  <si>
    <t>R-895</t>
  </si>
  <si>
    <t>03-1227-26</t>
  </si>
  <si>
    <t>M-R4A-2026-03-589972</t>
  </si>
  <si>
    <t>CRD-03-1248-26</t>
  </si>
  <si>
    <t>R-896</t>
  </si>
  <si>
    <t>03-1228-26</t>
  </si>
  <si>
    <t>M-R4A-2026-03-589973</t>
  </si>
  <si>
    <t>CRD-03-1249-26</t>
  </si>
  <si>
    <t>03-1229-26</t>
  </si>
  <si>
    <t>M-R4A-2026-03-590845</t>
  </si>
  <si>
    <t>03-1230-26</t>
  </si>
  <si>
    <t>M-R4A-2026-03-591462</t>
  </si>
  <si>
    <t>R-897</t>
  </si>
  <si>
    <t>03-1231-26</t>
  </si>
  <si>
    <t>M-R4A-2026-03-591901</t>
  </si>
  <si>
    <t>CRD-03-1252-26</t>
  </si>
  <si>
    <t>03-1232-26</t>
  </si>
  <si>
    <t>M-R4A-2026-03-592574</t>
  </si>
  <si>
    <t>CRD-03-1253-26</t>
  </si>
  <si>
    <t>OL-P-R4A-21-190063</t>
  </si>
  <si>
    <t>03-1233-26</t>
  </si>
  <si>
    <t>M-R4A-2026-03-592575</t>
  </si>
  <si>
    <t>CRD-03-1254-26</t>
  </si>
  <si>
    <t>03-1234-26</t>
  </si>
  <si>
    <t>M-R4A-2026-03-592760</t>
  </si>
  <si>
    <t>CRD-03-1255-26</t>
  </si>
  <si>
    <t>R-898</t>
  </si>
  <si>
    <t>03-1235-26</t>
  </si>
  <si>
    <t>M-R4A-2026-03-590282</t>
  </si>
  <si>
    <t>CRD-03-1256-26</t>
  </si>
  <si>
    <t>R-899</t>
  </si>
  <si>
    <t>03-1236-26</t>
  </si>
  <si>
    <t>CRD-03-1257-26</t>
  </si>
  <si>
    <t>OL-P-R4A-21-189244</t>
  </si>
  <si>
    <t xml:space="preserve">P.IMES Corp </t>
  </si>
  <si>
    <t>OL-P-R4A-21-181049</t>
  </si>
  <si>
    <t>03-1239-26</t>
  </si>
  <si>
    <t>CRD-03-1260-26</t>
  </si>
  <si>
    <t>kgs</t>
  </si>
  <si>
    <t>Prepared by:</t>
  </si>
  <si>
    <t>Approved by:</t>
  </si>
  <si>
    <t>Add: Transported for the month of MARCH 2026</t>
  </si>
  <si>
    <t>Facilities &amp; Maintenance Engr.</t>
  </si>
  <si>
    <t>Technical Sr. Supervisor</t>
  </si>
  <si>
    <t>HAZ. WASTES STORED AND UNTREATED AS OF THE END OF APRIL 2026</t>
  </si>
  <si>
    <t>TREATER</t>
  </si>
  <si>
    <t>06-Apr-26</t>
  </si>
  <si>
    <t>7-Apr-26</t>
  </si>
  <si>
    <t>7-Apr-27</t>
  </si>
  <si>
    <t>28-Apr-26</t>
  </si>
  <si>
    <t>OL-P-R4A-21-188581</t>
  </si>
  <si>
    <t>04-1240-26</t>
  </si>
  <si>
    <t>CRD-04-1261-26</t>
  </si>
  <si>
    <t>R-902</t>
  </si>
  <si>
    <t>04-1241-26</t>
  </si>
  <si>
    <t>CRD-04-1262-26</t>
  </si>
  <si>
    <t>R-903</t>
  </si>
  <si>
    <t>04-1242-26</t>
  </si>
  <si>
    <t>M-R4A-2026-04-596137</t>
  </si>
  <si>
    <t>CRD-04-1263-26</t>
  </si>
  <si>
    <t>R-904</t>
  </si>
  <si>
    <t>04-1243-26</t>
  </si>
  <si>
    <t>M-R4A-2026-04-596791</t>
  </si>
  <si>
    <t>CRD-04-1264-26</t>
  </si>
  <si>
    <t>04-1244-26</t>
  </si>
  <si>
    <t>M-R4A-2026-04-596866</t>
  </si>
  <si>
    <t>CRD-04-1265-26</t>
  </si>
  <si>
    <t>04-1245-26</t>
  </si>
  <si>
    <t>M-R4A-2026-04-597736</t>
  </si>
  <si>
    <t>CRD-04-1266-26</t>
  </si>
  <si>
    <t>04-1246-26</t>
  </si>
  <si>
    <t>M-R4A-2026-04-598255</t>
  </si>
  <si>
    <t>CRD-04-1267-26</t>
  </si>
  <si>
    <t>R-905</t>
  </si>
  <si>
    <t>04-1247-26</t>
  </si>
  <si>
    <t>M-R4A-2026-04-598313</t>
  </si>
  <si>
    <t>CRD-04-1268-26</t>
  </si>
  <si>
    <t>R-906</t>
  </si>
  <si>
    <t>04-1248-26</t>
  </si>
  <si>
    <t>M-R4A-2026-04-598718</t>
  </si>
  <si>
    <t>CRD-04-1269-26</t>
  </si>
  <si>
    <t>R-907</t>
  </si>
  <si>
    <t>04-1249-26</t>
  </si>
  <si>
    <t>M-R4A-2026-04-599254</t>
  </si>
  <si>
    <t>CRD-04-1270-26</t>
  </si>
  <si>
    <t>American Power Conversion Corporation - B.V - CAVITE 3</t>
  </si>
  <si>
    <t>OL-P-R4A-21-178319</t>
  </si>
  <si>
    <t>04-1250-26</t>
  </si>
  <si>
    <t>M-R4A-2026-04-599353</t>
  </si>
  <si>
    <t>CRD-04-1271-26</t>
  </si>
  <si>
    <t>R-908</t>
  </si>
  <si>
    <t>04-1251-26</t>
  </si>
  <si>
    <t>M-R4A-2026-04-599700</t>
  </si>
  <si>
    <t>CRD-04-1272-26</t>
  </si>
  <si>
    <t>R-909</t>
  </si>
  <si>
    <t>04-1252-26</t>
  </si>
  <si>
    <t>M-R4A-2026-04-601500</t>
  </si>
  <si>
    <t>CRD-04-1273-26</t>
  </si>
  <si>
    <t>R-910</t>
  </si>
  <si>
    <t>04-1253-26</t>
  </si>
  <si>
    <t>M-R3-2026-04-601966</t>
  </si>
  <si>
    <t>CRD-04-1274-26</t>
  </si>
  <si>
    <t>04-1254-26</t>
  </si>
  <si>
    <t>M-R3-2026-04-601967</t>
  </si>
  <si>
    <t>CRD-04-1275-26</t>
  </si>
  <si>
    <t>04-1255-26</t>
  </si>
  <si>
    <t>M-R4A-2026-04-601986</t>
  </si>
  <si>
    <t>CRD-04-1276-26</t>
  </si>
  <si>
    <t>04-1256-26</t>
  </si>
  <si>
    <t>M-R4A-2026-04-602942</t>
  </si>
  <si>
    <t>CRD-04-1277-26</t>
  </si>
  <si>
    <t>04-1257-26</t>
  </si>
  <si>
    <t>M-R4A-2026-04-603066</t>
  </si>
  <si>
    <t>CRD-04-1278-26</t>
  </si>
  <si>
    <t>04-1258-26</t>
  </si>
  <si>
    <t>M-R4A-2026-04-603436</t>
  </si>
  <si>
    <t>CRD-04-1279-26</t>
  </si>
  <si>
    <t>04-1259-26</t>
  </si>
  <si>
    <t>M-R4A-2026-04-603994</t>
  </si>
  <si>
    <t>CRD-04-1280-26</t>
  </si>
  <si>
    <t>R-911</t>
  </si>
  <si>
    <t>04-1260-26</t>
  </si>
  <si>
    <t>M-R4A-2026-04-604046</t>
  </si>
  <si>
    <t>CRD-04-1281-26</t>
  </si>
  <si>
    <t>R-912</t>
  </si>
  <si>
    <t>MARCH 2026 Ending Balance</t>
  </si>
  <si>
    <t>APRILYN ROGADOR</t>
  </si>
  <si>
    <t>CRD-03-1251-26</t>
  </si>
  <si>
    <t>CRD-03-1250-26</t>
  </si>
  <si>
    <t>M-R4A-2026-04-593539</t>
  </si>
  <si>
    <t>M-R4A-2026-04-593540</t>
  </si>
  <si>
    <t>M-R4A-2026-04-593541</t>
  </si>
  <si>
    <t>M-R4A-2026-04-593542</t>
  </si>
  <si>
    <t>OL-P-R4A-21-191926</t>
  </si>
  <si>
    <t>05-1270-26</t>
  </si>
  <si>
    <t>M-R4A-2026-05-610746</t>
  </si>
  <si>
    <t>R-918</t>
  </si>
  <si>
    <t>05-1271-26</t>
  </si>
  <si>
    <t>M-R4A-2026-05-610839</t>
  </si>
  <si>
    <t>OL-P-R4A-21-189677</t>
  </si>
  <si>
    <t>05-1275-26</t>
  </si>
  <si>
    <t>M-R4A-2026-05-601056</t>
  </si>
  <si>
    <t>Taiyo Yuden (Philippines), Inc.</t>
  </si>
  <si>
    <t>OL-P-R4A-21-174918</t>
  </si>
  <si>
    <t>05-1276-26</t>
  </si>
  <si>
    <t>OL-P-R4A-21-193532</t>
  </si>
  <si>
    <t>05-1272-26</t>
  </si>
  <si>
    <t>M-R4A-2026-05-612187</t>
  </si>
  <si>
    <t>OL-P-R4A-21-197046</t>
  </si>
  <si>
    <t>05-1273-26</t>
  </si>
  <si>
    <t>M-R4A-2026-05-612134</t>
  </si>
  <si>
    <t>Mitsumi Philippiines, Inc.</t>
  </si>
  <si>
    <t>05-1274-26</t>
  </si>
  <si>
    <t>M-R4A-2026-05-611682</t>
  </si>
  <si>
    <t>OL-P-R4A-21-187163</t>
  </si>
  <si>
    <t>05-1277-26</t>
  </si>
  <si>
    <t>Astec Power Philippines, Inc. CEZ</t>
  </si>
  <si>
    <t>CRD-05-1295-26</t>
  </si>
  <si>
    <t>R-920</t>
  </si>
  <si>
    <t>R-919</t>
  </si>
  <si>
    <t>CRD-05-1293-26</t>
  </si>
  <si>
    <t>R-921</t>
  </si>
  <si>
    <t>CRD-05-1296-26</t>
  </si>
  <si>
    <t>M-R4A-2026-05-608908</t>
  </si>
  <si>
    <t>CRD-05-1297-26</t>
  </si>
  <si>
    <t>R-922</t>
  </si>
  <si>
    <t>CRD-05-1294-26</t>
  </si>
  <si>
    <t>R-924</t>
  </si>
  <si>
    <t>CRD-05-1299-26</t>
  </si>
  <si>
    <t>Column1</t>
  </si>
  <si>
    <t>Column2</t>
  </si>
  <si>
    <t>PRINCE ARAGON</t>
  </si>
  <si>
    <t>Documentation Staff</t>
  </si>
  <si>
    <t>Verified by:</t>
  </si>
  <si>
    <t>Asst. Admin/Technical Manager</t>
  </si>
  <si>
    <t>CRD-05-1291-26</t>
  </si>
  <si>
    <t>06-1287-26</t>
  </si>
  <si>
    <t>06-1288-26</t>
  </si>
  <si>
    <t>06-1289-26</t>
  </si>
  <si>
    <t>06-1290-26</t>
  </si>
  <si>
    <t>06-1291-26</t>
  </si>
  <si>
    <t>06-1292-26</t>
  </si>
  <si>
    <t>06-1293-26</t>
  </si>
  <si>
    <t>06-1294-26</t>
  </si>
  <si>
    <t>M-R4A-2026-06-616501</t>
  </si>
  <si>
    <t>M-R4A-2026-06-616924</t>
  </si>
  <si>
    <t>OL-P-R4A-21-197146</t>
  </si>
  <si>
    <t>M-R4A-2026-06-618045</t>
  </si>
  <si>
    <t>CRD-06-1309-26</t>
  </si>
  <si>
    <t>CRD-06-1310-26</t>
  </si>
  <si>
    <t>M-R4A-2026-06-618023</t>
  </si>
  <si>
    <t>M-NCR-2026-06-614006</t>
  </si>
  <si>
    <t>R-931</t>
  </si>
  <si>
    <t>R-932</t>
  </si>
  <si>
    <t>M-R4A-2026-06-618830</t>
  </si>
  <si>
    <t>R-933</t>
  </si>
  <si>
    <t>M-R4A-2026-06-618943</t>
  </si>
  <si>
    <t>OL-P-R4A-21-186130</t>
  </si>
  <si>
    <t>M-R3-2026-06-620172</t>
  </si>
  <si>
    <t>R-934</t>
  </si>
  <si>
    <t>OL-P-R4A-21-190315</t>
  </si>
  <si>
    <t>CRD-06-1311-26</t>
  </si>
  <si>
    <t>CRD-06-1312-26</t>
  </si>
  <si>
    <t>CRD-06-1313-26</t>
  </si>
  <si>
    <t>CRD-06-1314-26</t>
  </si>
  <si>
    <t>CRD-06-1315-26</t>
  </si>
  <si>
    <t>CRD-06-1316-26</t>
  </si>
  <si>
    <t>MAY 2026 Ending Balance</t>
  </si>
  <si>
    <t>Add: Transported for the month of June  2026</t>
  </si>
  <si>
    <t>CRD-05-1292-26</t>
  </si>
  <si>
    <t>06-30-27</t>
  </si>
  <si>
    <t>AS OF 07/09/26</t>
  </si>
  <si>
    <t>Asst. Admin/Tech Manager</t>
  </si>
  <si>
    <t>HAZ. WASTES STORED AND UNTREATED AS OF THE END OF JULY 2026</t>
  </si>
  <si>
    <t>07-1311-26</t>
  </si>
  <si>
    <t>M-R4A-2026-07-627509</t>
  </si>
  <si>
    <t>OL-P-R4A-21-199392</t>
  </si>
  <si>
    <t>07-1312-26</t>
  </si>
  <si>
    <t>07-1313-26</t>
  </si>
  <si>
    <t>07-1314-26</t>
  </si>
  <si>
    <t>07-1315-26</t>
  </si>
  <si>
    <t>M-R4A-2026-07-627565</t>
  </si>
  <si>
    <t>OL-P-R4A-21-191231</t>
  </si>
  <si>
    <t>07-1316-26</t>
  </si>
  <si>
    <t>M-R4A-2026-07-628415</t>
  </si>
  <si>
    <t>R-942</t>
  </si>
  <si>
    <t>M-R4A-2026-07-628448</t>
  </si>
  <si>
    <t>M-R4A-2026-07-628498</t>
  </si>
  <si>
    <t>30-Jun-26</t>
  </si>
  <si>
    <t>M-NCR-2026-05-611496</t>
  </si>
  <si>
    <t>CRD-06-1338</t>
  </si>
  <si>
    <t>07-1317-26</t>
  </si>
  <si>
    <t>07-1318-26</t>
  </si>
  <si>
    <t>07-1319-26</t>
  </si>
  <si>
    <t>07-1320-26</t>
  </si>
  <si>
    <t>07-1321-26</t>
  </si>
  <si>
    <t>07-1322-26</t>
  </si>
  <si>
    <t>07-1323-26</t>
  </si>
  <si>
    <t>M-R4A-2026-07-629229</t>
  </si>
  <si>
    <t xml:space="preserve">CRD-07-1333-26 </t>
  </si>
  <si>
    <t>CRD-07-1334-26</t>
  </si>
  <si>
    <t>CRD-07-1335-26</t>
  </si>
  <si>
    <t>CRD-07-1336-26</t>
  </si>
  <si>
    <t>R-943</t>
  </si>
  <si>
    <t>M-R4A-2026-07-629382</t>
  </si>
  <si>
    <t>M-R4A-2026-07-629475</t>
  </si>
  <si>
    <t>R-944</t>
  </si>
  <si>
    <t>M-R4A-2026-07-629271</t>
  </si>
  <si>
    <t>M-R4A-2026-07-629252</t>
  </si>
  <si>
    <t>M-R4A-2026-07-630199</t>
  </si>
  <si>
    <t>M-R4A-2026-07-630515</t>
  </si>
  <si>
    <t>R-945</t>
  </si>
  <si>
    <t>CRD-07-1337-26</t>
  </si>
  <si>
    <t>CRD-07-1338-26</t>
  </si>
  <si>
    <t>CRD-07-1339-26</t>
  </si>
  <si>
    <t>CRD-07-1340-26</t>
  </si>
  <si>
    <t>CRD-07-1342-26</t>
  </si>
  <si>
    <t>CRD-07-1341-26</t>
  </si>
  <si>
    <t>CRD-07-1343-26</t>
  </si>
  <si>
    <t>CRD-07-1344-26</t>
  </si>
  <si>
    <t>M-R4A-2026-07-631232</t>
  </si>
  <si>
    <t>R-946</t>
  </si>
  <si>
    <t>07-1324-26</t>
  </si>
  <si>
    <t>M-R4A-2026-07-631859</t>
  </si>
  <si>
    <t>R-947</t>
  </si>
  <si>
    <t>07-1325-26</t>
  </si>
  <si>
    <t>M-R4A-2026-07-632739</t>
  </si>
  <si>
    <t>R-948</t>
  </si>
  <si>
    <t>07-1326-26</t>
  </si>
  <si>
    <t>M-R4A-2026-07-632758</t>
  </si>
  <si>
    <t>R-949</t>
  </si>
  <si>
    <t>CRD-07-1345-26</t>
  </si>
  <si>
    <t>CRD-07-1346-26</t>
  </si>
  <si>
    <t>CRD-07-1347-26</t>
  </si>
  <si>
    <t>CRD-07-1348-26</t>
  </si>
  <si>
    <t>07-1327-26</t>
  </si>
  <si>
    <t>M-R4A-2026-07-633334</t>
  </si>
  <si>
    <t>CRD-07-1349-26</t>
  </si>
  <si>
    <t>R-950</t>
  </si>
  <si>
    <t>OL-P-R4A-21-195646</t>
  </si>
  <si>
    <t>M-R4A-2026-07-633509</t>
  </si>
  <si>
    <t>CRD-07-1350-26</t>
  </si>
  <si>
    <t>R-951</t>
  </si>
  <si>
    <t>07-1329-26</t>
  </si>
  <si>
    <t>07-1328-26</t>
  </si>
  <si>
    <t>M-R4A-2026-07-633752</t>
  </si>
  <si>
    <t>07-1330-26</t>
  </si>
  <si>
    <t>M-R4A-2026-07-634460</t>
  </si>
  <si>
    <t>CRD-07-1351-26</t>
  </si>
  <si>
    <t>CRD-07-1352-26</t>
  </si>
  <si>
    <t>07-1331-27</t>
  </si>
  <si>
    <t>M-R4A-2026-07-634549</t>
  </si>
  <si>
    <t>CRD-07-1353-27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</si>
</sst>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3" formatCode="_-* #,##0.00_-;\-* #,##0.00_-;_-* &quot;-&quot;??_-;_-@_-"/>
    <numFmt numFmtId="164" formatCode="_(* #,##0.00_);_(* \(#,##0.00\);_(* &quot;-&quot;??_);_(@_)"/>
    <numFmt numFmtId="165" formatCode="[$-409]dd\-mmm\-yy;@"/>
    <numFmt numFmtId="166" formatCode="[$-3409]dd\-mmm\-yy;@"/>
    <numFmt numFmtId="167" formatCode="[$-409]d\-mmm\-yy;@"/>
    <numFmt numFmtId="168" formatCode="mm/dd/yy"/>
    <numFmt numFmtId="169" formatCode="mm/dd/yy;@"/>
  </numFmts>
  <fonts count="38">
    <font>
      <sz val="11"/>
      <color theme="1"/>
      <name val="Calibri"/>
      <charset val="134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0000FF"/>
      <name val="Calibri"/>
      <family val="2"/>
      <scheme val="minor"/>
    </font>
    <font>
      <sz val="10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25"/>
      <color rgb="FF0000FF"/>
      <name val="Verdana"/>
      <family val="2"/>
    </font>
    <font>
      <b/>
      <sz val="14"/>
      <name val="Verdana"/>
      <family val="2"/>
    </font>
    <font>
      <b/>
      <sz val="12"/>
      <color rgb="FFC00000"/>
      <name val="Verdana"/>
      <family val="2"/>
    </font>
    <font>
      <b/>
      <sz val="10"/>
      <color rgb="FFC00000"/>
      <name val="Verdana"/>
      <family val="2"/>
    </font>
    <font>
      <b/>
      <sz val="10"/>
      <color theme="1"/>
      <name val="Verdana"/>
      <family val="2"/>
    </font>
    <font>
      <sz val="10"/>
      <color theme="1"/>
      <name val="Verdana"/>
      <family val="2"/>
    </font>
    <font>
      <b/>
      <sz val="18"/>
      <color theme="1"/>
      <name val="Verdana"/>
      <family val="2"/>
    </font>
    <font>
      <b/>
      <sz val="11"/>
      <name val="Verdana"/>
      <family val="2"/>
    </font>
    <font>
      <b/>
      <sz val="9"/>
      <color rgb="FFC00000"/>
      <name val="Verdana"/>
      <family val="2"/>
    </font>
    <font>
      <b/>
      <sz val="10"/>
      <name val="Verdana"/>
      <family val="2"/>
    </font>
    <font>
      <b/>
      <sz val="9"/>
      <name val="Verdana"/>
      <family val="2"/>
    </font>
    <font>
      <sz val="10"/>
      <name val="Verdana"/>
      <family val="2"/>
    </font>
    <font>
      <sz val="10"/>
      <color rgb="FFFF0000"/>
      <name val="Verdana"/>
      <family val="2"/>
    </font>
    <font>
      <sz val="10"/>
      <color rgb="FF0000FF"/>
      <name val="Verdana"/>
      <family val="2"/>
    </font>
    <font>
      <b/>
      <sz val="10"/>
      <color rgb="FF0000FF"/>
      <name val="Tahoma"/>
      <family val="2"/>
    </font>
    <font>
      <b/>
      <sz val="10"/>
      <color theme="1"/>
      <name val="Tahoma"/>
      <family val="2"/>
    </font>
    <font>
      <sz val="10"/>
      <name val="Calibri"/>
      <family val="2"/>
      <scheme val="minor"/>
    </font>
    <font>
      <sz val="10"/>
      <color theme="1"/>
      <name val="Tahoma"/>
      <family val="2"/>
    </font>
    <font>
      <sz val="11"/>
      <color theme="1"/>
      <name val="Calibri"/>
      <family val="2"/>
      <scheme val="minor"/>
    </font>
    <font>
      <sz val="11"/>
      <color theme="1"/>
      <name val="Tahoma"/>
      <family val="2"/>
    </font>
    <font>
      <b/>
      <sz val="11"/>
      <color theme="1"/>
      <name val="Tahoma"/>
      <family val="2"/>
    </font>
    <font>
      <sz val="36"/>
      <color theme="1"/>
      <name val="Calibri"/>
      <family val="2"/>
      <scheme val="minor"/>
    </font>
    <font>
      <sz val="11"/>
      <color rgb="FF0000FF"/>
      <name val="Calibri"/>
      <family val="2"/>
      <scheme val="minor"/>
    </font>
    <font>
      <b/>
      <sz val="22"/>
      <color theme="1"/>
      <name val="Verdana"/>
      <family val="2"/>
    </font>
    <font>
      <sz val="10"/>
      <name val="Arial"/>
      <family val="2"/>
    </font>
    <font>
      <sz val="10"/>
      <color rgb="FFFF0000"/>
      <name val="Verdana"/>
      <family val="2"/>
    </font>
    <font>
      <sz val="10"/>
      <name val="Verdana"/>
      <family val="2"/>
    </font>
    <font>
      <sz val="11"/>
      <color rgb="FFFF0000"/>
      <name val="Verdana"/>
      <family val="2"/>
    </font>
    <font>
      <sz val="8"/>
      <name val="Calibri"/>
      <family val="2"/>
      <scheme val="minor"/>
    </font>
    <font>
      <sz val="11"/>
      <color rgb="FFFF0000"/>
      <name val="Calibri"/>
      <family val="2"/>
      <scheme val="minor"/>
    </font>
    <font>
      <sz val="8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theme="7" tint="0.79985961485641044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000"/>
        <bgColor indexed="64"/>
      </patternFill>
    </fill>
  </fills>
  <borders count="71">
    <border>
      <left/>
      <right/>
      <top/>
      <bottom/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 style="thin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auto="1"/>
      </left>
      <right style="medium">
        <color auto="1"/>
      </right>
      <top/>
      <bottom style="hair">
        <color auto="1"/>
      </bottom>
      <diagonal/>
    </border>
    <border>
      <left style="thin">
        <color auto="1"/>
      </left>
      <right style="medium">
        <color auto="1"/>
      </right>
      <top style="hair">
        <color auto="1"/>
      </top>
      <bottom/>
      <diagonal/>
    </border>
    <border>
      <left style="medium">
        <color auto="1"/>
      </left>
      <right style="thin">
        <color auto="1"/>
      </right>
      <top style="hair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double">
        <color auto="1"/>
      </bottom>
      <diagonal/>
    </border>
    <border>
      <left style="thin">
        <color auto="1"/>
      </left>
      <right style="medium">
        <color auto="1"/>
      </right>
      <top style="hair">
        <color auto="1"/>
      </top>
      <bottom style="double">
        <color auto="1"/>
      </bottom>
      <diagonal/>
    </border>
    <border>
      <left style="thin">
        <color theme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theme="1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 style="thin">
        <color auto="1"/>
      </top>
      <bottom/>
      <diagonal/>
    </border>
    <border>
      <left/>
      <right/>
      <top style="thin">
        <color auto="1"/>
      </top>
      <bottom style="double">
        <color auto="1"/>
      </bottom>
      <diagonal/>
    </border>
    <border>
      <left/>
      <right/>
      <top/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/>
      <right style="thin">
        <color auto="1"/>
      </right>
      <top style="hair">
        <color auto="1"/>
      </top>
      <bottom/>
      <diagonal/>
    </border>
    <border>
      <left style="medium">
        <color auto="1"/>
      </left>
      <right style="thin">
        <color auto="1"/>
      </right>
      <top style="hair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medium">
        <color auto="1"/>
      </bottom>
      <diagonal/>
    </border>
    <border>
      <left/>
      <right style="thin">
        <color auto="1"/>
      </right>
      <top style="hair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hair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medium">
        <color auto="1"/>
      </right>
      <top style="double">
        <color auto="1"/>
      </top>
      <bottom style="hair">
        <color auto="1"/>
      </bottom>
      <diagonal/>
    </border>
    <border>
      <left/>
      <right style="medium">
        <color auto="1"/>
      </right>
      <top style="hair">
        <color auto="1"/>
      </top>
      <bottom style="hair">
        <color auto="1"/>
      </bottom>
      <diagonal/>
    </border>
    <border>
      <left/>
      <right style="medium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hair">
        <color auto="1"/>
      </top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hair">
        <color auto="1"/>
      </bottom>
      <diagonal/>
    </border>
    <border>
      <left/>
      <right/>
      <top style="hair">
        <color auto="1"/>
      </top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 style="thin">
        <color auto="1"/>
      </right>
      <top style="double">
        <color auto="1"/>
      </top>
      <bottom style="hair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</borders>
  <cellStyleXfs count="3">
    <xf numFmtId="0" fontId="0" fillId="0" borderId="0"/>
    <xf numFmtId="43" fontId="25" fillId="0" borderId="0" applyFont="0" applyFill="0" applyBorder="0" applyAlignment="0" applyProtection="0"/>
    <xf numFmtId="0" fontId="31" fillId="0" borderId="0"/>
  </cellStyleXfs>
  <cellXfs count="392">
    <xf numFmtId="0" fontId="0" fillId="0" borderId="0" xfId="0"/>
    <xf numFmtId="0" fontId="3" fillId="0" borderId="0" xfId="0" applyFont="1"/>
    <xf numFmtId="0" fontId="4" fillId="0" borderId="0" xfId="0" applyFont="1"/>
    <xf numFmtId="0" fontId="5" fillId="0" borderId="0" xfId="0" applyFont="1"/>
    <xf numFmtId="0" fontId="0" fillId="0" borderId="1" xfId="0" applyBorder="1"/>
    <xf numFmtId="0" fontId="0" fillId="0" borderId="0" xfId="0" applyAlignment="1">
      <alignment wrapText="1"/>
    </xf>
    <xf numFmtId="0" fontId="6" fillId="0" borderId="0" xfId="0" applyFont="1"/>
    <xf numFmtId="0" fontId="8" fillId="0" borderId="9" xfId="2" applyFont="1" applyBorder="1" applyAlignment="1">
      <alignment horizontal="center" vertical="center" wrapText="1"/>
    </xf>
    <xf numFmtId="0" fontId="9" fillId="2" borderId="10" xfId="0" applyFont="1" applyFill="1" applyBorder="1" applyAlignment="1">
      <alignment horizontal="center" vertical="center" wrapText="1"/>
    </xf>
    <xf numFmtId="0" fontId="10" fillId="2" borderId="10" xfId="0" applyFont="1" applyFill="1" applyBorder="1" applyAlignment="1">
      <alignment horizontal="center" vertical="center" wrapText="1"/>
    </xf>
    <xf numFmtId="0" fontId="11" fillId="0" borderId="11" xfId="0" applyFont="1" applyBorder="1" applyAlignment="1">
      <alignment horizontal="center" vertical="center"/>
    </xf>
    <xf numFmtId="0" fontId="12" fillId="0" borderId="0" xfId="0" applyFont="1"/>
    <xf numFmtId="0" fontId="14" fillId="0" borderId="9" xfId="2" applyFont="1" applyBorder="1" applyAlignment="1">
      <alignment horizontal="center" vertical="center" wrapText="1"/>
    </xf>
    <xf numFmtId="0" fontId="9" fillId="2" borderId="9" xfId="0" applyFont="1" applyFill="1" applyBorder="1" applyAlignment="1">
      <alignment horizontal="center" vertical="center" wrapText="1"/>
    </xf>
    <xf numFmtId="165" fontId="15" fillId="2" borderId="9" xfId="0" applyNumberFormat="1" applyFont="1" applyFill="1" applyBorder="1" applyAlignment="1">
      <alignment horizontal="center" vertical="center" wrapText="1"/>
    </xf>
    <xf numFmtId="0" fontId="11" fillId="0" borderId="15" xfId="0" applyFont="1" applyBorder="1" applyAlignment="1">
      <alignment horizontal="center" vertical="center"/>
    </xf>
    <xf numFmtId="0" fontId="12" fillId="0" borderId="16" xfId="0" applyFont="1" applyBorder="1"/>
    <xf numFmtId="0" fontId="16" fillId="4" borderId="18" xfId="0" applyFont="1" applyFill="1" applyBorder="1" applyAlignment="1">
      <alignment horizontal="center" vertical="center" wrapText="1"/>
    </xf>
    <xf numFmtId="0" fontId="16" fillId="4" borderId="9" xfId="0" applyFont="1" applyFill="1" applyBorder="1" applyAlignment="1">
      <alignment horizontal="center" vertical="center" wrapText="1"/>
    </xf>
    <xf numFmtId="0" fontId="17" fillId="4" borderId="9" xfId="0" applyFont="1" applyFill="1" applyBorder="1" applyAlignment="1">
      <alignment horizontal="center" vertical="center" wrapText="1"/>
    </xf>
    <xf numFmtId="0" fontId="16" fillId="4" borderId="19" xfId="0" applyFont="1" applyFill="1" applyBorder="1" applyAlignment="1">
      <alignment horizontal="center" vertical="center" wrapText="1"/>
    </xf>
    <xf numFmtId="43" fontId="16" fillId="4" borderId="9" xfId="1" applyFont="1" applyFill="1" applyBorder="1" applyAlignment="1">
      <alignment horizontal="center" vertical="center" wrapText="1"/>
    </xf>
    <xf numFmtId="165" fontId="16" fillId="4" borderId="9" xfId="0" applyNumberFormat="1" applyFont="1" applyFill="1" applyBorder="1" applyAlignment="1">
      <alignment horizontal="center" vertical="center" wrapText="1"/>
    </xf>
    <xf numFmtId="166" fontId="16" fillId="4" borderId="9" xfId="0" applyNumberFormat="1" applyFont="1" applyFill="1" applyBorder="1" applyAlignment="1">
      <alignment horizontal="center" vertical="center" wrapText="1"/>
    </xf>
    <xf numFmtId="167" fontId="16" fillId="4" borderId="9" xfId="0" applyNumberFormat="1" applyFont="1" applyFill="1" applyBorder="1" applyAlignment="1">
      <alignment horizontal="center" vertical="center" wrapText="1"/>
    </xf>
    <xf numFmtId="0" fontId="17" fillId="4" borderId="20" xfId="0" applyFont="1" applyFill="1" applyBorder="1" applyAlignment="1">
      <alignment horizontal="center" vertical="center" wrapText="1"/>
    </xf>
    <xf numFmtId="0" fontId="18" fillId="2" borderId="7" xfId="0" applyFont="1" applyFill="1" applyBorder="1" applyAlignment="1">
      <alignment horizontal="center" vertical="center" wrapText="1"/>
    </xf>
    <xf numFmtId="0" fontId="18" fillId="2" borderId="8" xfId="0" applyFont="1" applyFill="1" applyBorder="1" applyAlignment="1">
      <alignment vertical="center" wrapText="1"/>
    </xf>
    <xf numFmtId="14" fontId="18" fillId="2" borderId="8" xfId="0" applyNumberFormat="1" applyFont="1" applyFill="1" applyBorder="1" applyAlignment="1">
      <alignment horizontal="center" vertical="center"/>
    </xf>
    <xf numFmtId="168" fontId="18" fillId="2" borderId="1" xfId="0" applyNumberFormat="1" applyFont="1" applyFill="1" applyBorder="1" applyAlignment="1">
      <alignment horizontal="center" vertical="center" wrapText="1"/>
    </xf>
    <xf numFmtId="43" fontId="18" fillId="2" borderId="8" xfId="1" applyFont="1" applyFill="1" applyBorder="1" applyAlignment="1">
      <alignment horizontal="center" vertical="center"/>
    </xf>
    <xf numFmtId="0" fontId="18" fillId="2" borderId="8" xfId="0" applyFont="1" applyFill="1" applyBorder="1" applyAlignment="1">
      <alignment horizontal="center" vertical="center"/>
    </xf>
    <xf numFmtId="49" fontId="18" fillId="2" borderId="8" xfId="0" applyNumberFormat="1" applyFont="1" applyFill="1" applyBorder="1" applyAlignment="1">
      <alignment horizontal="center" vertical="center" wrapText="1"/>
    </xf>
    <xf numFmtId="43" fontId="12" fillId="5" borderId="8" xfId="1" applyFont="1" applyFill="1" applyBorder="1" applyAlignment="1">
      <alignment horizontal="center" vertical="center" wrapText="1"/>
    </xf>
    <xf numFmtId="0" fontId="16" fillId="6" borderId="8" xfId="0" applyFont="1" applyFill="1" applyBorder="1" applyAlignment="1">
      <alignment horizontal="center" vertical="center" wrapText="1"/>
    </xf>
    <xf numFmtId="43" fontId="18" fillId="5" borderId="8" xfId="1" applyFont="1" applyFill="1" applyBorder="1" applyAlignment="1">
      <alignment horizontal="center" vertical="center" wrapText="1"/>
    </xf>
    <xf numFmtId="43" fontId="18" fillId="2" borderId="8" xfId="1" applyFont="1" applyFill="1" applyBorder="1" applyAlignment="1">
      <alignment horizontal="center" vertical="center" wrapText="1"/>
    </xf>
    <xf numFmtId="43" fontId="16" fillId="2" borderId="21" xfId="1" applyFont="1" applyFill="1" applyBorder="1" applyAlignment="1">
      <alignment horizontal="center" vertical="center"/>
    </xf>
    <xf numFmtId="0" fontId="18" fillId="0" borderId="22" xfId="0" applyFont="1" applyBorder="1" applyAlignment="1">
      <alignment horizontal="center" vertical="center" wrapText="1"/>
    </xf>
    <xf numFmtId="0" fontId="18" fillId="2" borderId="23" xfId="0" applyFont="1" applyFill="1" applyBorder="1" applyAlignment="1">
      <alignment horizontal="left" vertical="center" wrapText="1"/>
    </xf>
    <xf numFmtId="165" fontId="18" fillId="2" borderId="24" xfId="0" applyNumberFormat="1" applyFont="1" applyFill="1" applyBorder="1" applyAlignment="1">
      <alignment horizontal="center" vertical="center"/>
    </xf>
    <xf numFmtId="169" fontId="18" fillId="2" borderId="25" xfId="0" applyNumberFormat="1" applyFont="1" applyFill="1" applyBorder="1" applyAlignment="1">
      <alignment horizontal="center" vertical="center" wrapText="1"/>
    </xf>
    <xf numFmtId="164" fontId="18" fillId="2" borderId="23" xfId="1" applyNumberFormat="1" applyFont="1" applyFill="1" applyBorder="1" applyAlignment="1">
      <alignment horizontal="left" vertical="center" wrapText="1"/>
    </xf>
    <xf numFmtId="49" fontId="18" fillId="2" borderId="24" xfId="0" applyNumberFormat="1" applyFont="1" applyFill="1" applyBorder="1" applyAlignment="1">
      <alignment horizontal="center" vertical="center" wrapText="1"/>
    </xf>
    <xf numFmtId="49" fontId="18" fillId="2" borderId="23" xfId="0" applyNumberFormat="1" applyFont="1" applyFill="1" applyBorder="1" applyAlignment="1">
      <alignment horizontal="center" vertical="center" wrapText="1"/>
    </xf>
    <xf numFmtId="43" fontId="18" fillId="7" borderId="24" xfId="1" applyFont="1" applyFill="1" applyBorder="1" applyAlignment="1">
      <alignment horizontal="center" vertical="center" wrapText="1"/>
    </xf>
    <xf numFmtId="43" fontId="18" fillId="0" borderId="24" xfId="0" applyNumberFormat="1" applyFont="1" applyBorder="1" applyAlignment="1">
      <alignment vertical="center"/>
    </xf>
    <xf numFmtId="43" fontId="18" fillId="0" borderId="24" xfId="0" applyNumberFormat="1" applyFont="1" applyBorder="1" applyAlignment="1">
      <alignment horizontal="center" vertical="center"/>
    </xf>
    <xf numFmtId="43" fontId="18" fillId="2" borderId="24" xfId="0" applyNumberFormat="1" applyFont="1" applyFill="1" applyBorder="1" applyAlignment="1">
      <alignment horizontal="center" vertical="center"/>
    </xf>
    <xf numFmtId="43" fontId="18" fillId="0" borderId="24" xfId="1" applyFont="1" applyFill="1" applyBorder="1" applyAlignment="1">
      <alignment vertical="center" wrapText="1"/>
    </xf>
    <xf numFmtId="43" fontId="18" fillId="7" borderId="24" xfId="1" applyFont="1" applyFill="1" applyBorder="1" applyAlignment="1">
      <alignment horizontal="right" vertical="center" wrapText="1"/>
    </xf>
    <xf numFmtId="0" fontId="18" fillId="0" borderId="24" xfId="0" applyFont="1" applyBorder="1" applyAlignment="1">
      <alignment horizontal="center" vertical="center"/>
    </xf>
    <xf numFmtId="0" fontId="18" fillId="0" borderId="26" xfId="0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20" fillId="0" borderId="22" xfId="0" applyFont="1" applyBorder="1" applyAlignment="1">
      <alignment horizontal="center" vertical="center" wrapText="1"/>
    </xf>
    <xf numFmtId="0" fontId="20" fillId="2" borderId="23" xfId="0" applyFont="1" applyFill="1" applyBorder="1" applyAlignment="1">
      <alignment horizontal="left" vertical="center" wrapText="1"/>
    </xf>
    <xf numFmtId="165" fontId="20" fillId="2" borderId="24" xfId="0" applyNumberFormat="1" applyFont="1" applyFill="1" applyBorder="1" applyAlignment="1">
      <alignment horizontal="center" vertical="center"/>
    </xf>
    <xf numFmtId="169" fontId="20" fillId="2" borderId="25" xfId="0" applyNumberFormat="1" applyFont="1" applyFill="1" applyBorder="1" applyAlignment="1">
      <alignment horizontal="center" vertical="center" wrapText="1"/>
    </xf>
    <xf numFmtId="164" fontId="20" fillId="2" borderId="23" xfId="1" applyNumberFormat="1" applyFont="1" applyFill="1" applyBorder="1" applyAlignment="1">
      <alignment horizontal="left" vertical="center" wrapText="1"/>
    </xf>
    <xf numFmtId="49" fontId="20" fillId="2" borderId="24" xfId="0" applyNumberFormat="1" applyFont="1" applyFill="1" applyBorder="1" applyAlignment="1">
      <alignment horizontal="center" vertical="center" wrapText="1"/>
    </xf>
    <xf numFmtId="49" fontId="20" fillId="2" borderId="23" xfId="0" applyNumberFormat="1" applyFont="1" applyFill="1" applyBorder="1" applyAlignment="1">
      <alignment horizontal="center" vertical="center" wrapText="1"/>
    </xf>
    <xf numFmtId="43" fontId="20" fillId="7" borderId="24" xfId="1" applyFont="1" applyFill="1" applyBorder="1" applyAlignment="1">
      <alignment horizontal="center" vertical="center" wrapText="1"/>
    </xf>
    <xf numFmtId="43" fontId="20" fillId="0" borderId="24" xfId="0" applyNumberFormat="1" applyFont="1" applyBorder="1" applyAlignment="1">
      <alignment vertical="center"/>
    </xf>
    <xf numFmtId="43" fontId="20" fillId="0" borderId="24" xfId="0" applyNumberFormat="1" applyFont="1" applyBorder="1" applyAlignment="1">
      <alignment horizontal="center" vertical="center"/>
    </xf>
    <xf numFmtId="43" fontId="20" fillId="2" borderId="24" xfId="0" applyNumberFormat="1" applyFont="1" applyFill="1" applyBorder="1" applyAlignment="1">
      <alignment horizontal="center" vertical="center"/>
    </xf>
    <xf numFmtId="43" fontId="20" fillId="0" borderId="24" xfId="1" applyFont="1" applyFill="1" applyBorder="1" applyAlignment="1">
      <alignment vertical="center" wrapText="1"/>
    </xf>
    <xf numFmtId="43" fontId="20" fillId="7" borderId="24" xfId="1" applyFont="1" applyFill="1" applyBorder="1" applyAlignment="1">
      <alignment horizontal="right" vertical="center" wrapText="1"/>
    </xf>
    <xf numFmtId="0" fontId="20" fillId="0" borderId="24" xfId="0" applyFont="1" applyBorder="1" applyAlignment="1">
      <alignment horizontal="center" vertical="center"/>
    </xf>
    <xf numFmtId="0" fontId="20" fillId="0" borderId="26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18" fillId="0" borderId="27" xfId="0" applyFont="1" applyBorder="1" applyAlignment="1">
      <alignment horizontal="center" vertical="center" wrapText="1"/>
    </xf>
    <xf numFmtId="0" fontId="18" fillId="0" borderId="23" xfId="0" applyFont="1" applyBorder="1" applyAlignment="1">
      <alignment vertical="center" wrapText="1"/>
    </xf>
    <xf numFmtId="165" fontId="18" fillId="2" borderId="23" xfId="0" applyNumberFormat="1" applyFont="1" applyFill="1" applyBorder="1" applyAlignment="1">
      <alignment horizontal="center" vertical="center"/>
    </xf>
    <xf numFmtId="0" fontId="18" fillId="0" borderId="23" xfId="0" applyFont="1" applyBorder="1" applyAlignment="1">
      <alignment horizontal="center" vertical="center" wrapText="1"/>
    </xf>
    <xf numFmtId="43" fontId="18" fillId="0" borderId="23" xfId="1" applyFont="1" applyBorder="1" applyAlignment="1">
      <alignment horizontal="right" vertical="center"/>
    </xf>
    <xf numFmtId="43" fontId="18" fillId="7" borderId="23" xfId="1" applyFont="1" applyFill="1" applyBorder="1" applyAlignment="1">
      <alignment horizontal="center" vertical="center" wrapText="1"/>
    </xf>
    <xf numFmtId="43" fontId="18" fillId="0" borderId="23" xfId="0" applyNumberFormat="1" applyFont="1" applyBorder="1" applyAlignment="1">
      <alignment vertical="center"/>
    </xf>
    <xf numFmtId="43" fontId="18" fillId="0" borderId="23" xfId="0" applyNumberFormat="1" applyFont="1" applyBorder="1" applyAlignment="1">
      <alignment horizontal="center" vertical="center"/>
    </xf>
    <xf numFmtId="43" fontId="18" fillId="2" borderId="23" xfId="0" applyNumberFormat="1" applyFont="1" applyFill="1" applyBorder="1" applyAlignment="1">
      <alignment horizontal="center" vertical="center"/>
    </xf>
    <xf numFmtId="43" fontId="18" fillId="0" borderId="23" xfId="1" applyFont="1" applyFill="1" applyBorder="1" applyAlignment="1">
      <alignment vertical="center" wrapText="1"/>
    </xf>
    <xf numFmtId="43" fontId="18" fillId="7" borderId="23" xfId="1" applyFont="1" applyFill="1" applyBorder="1" applyAlignment="1">
      <alignment horizontal="right" vertical="center" wrapText="1"/>
    </xf>
    <xf numFmtId="0" fontId="18" fillId="0" borderId="23" xfId="0" applyFont="1" applyBorder="1" applyAlignment="1">
      <alignment horizontal="center" vertical="center"/>
    </xf>
    <xf numFmtId="0" fontId="18" fillId="0" borderId="28" xfId="0" applyFont="1" applyBorder="1" applyAlignment="1">
      <alignment horizontal="center" vertical="center"/>
    </xf>
    <xf numFmtId="0" fontId="18" fillId="0" borderId="24" xfId="0" applyFont="1" applyBorder="1" applyAlignment="1">
      <alignment vertical="center" wrapText="1"/>
    </xf>
    <xf numFmtId="165" fontId="18" fillId="0" borderId="24" xfId="0" applyNumberFormat="1" applyFont="1" applyBorder="1" applyAlignment="1">
      <alignment horizontal="center" vertical="center"/>
    </xf>
    <xf numFmtId="0" fontId="18" fillId="0" borderId="24" xfId="0" applyFont="1" applyBorder="1" applyAlignment="1">
      <alignment horizontal="center" vertical="center" wrapText="1"/>
    </xf>
    <xf numFmtId="43" fontId="18" fillId="0" borderId="24" xfId="1" applyFont="1" applyBorder="1" applyAlignment="1">
      <alignment horizontal="right" vertical="center"/>
    </xf>
    <xf numFmtId="49" fontId="18" fillId="0" borderId="24" xfId="0" applyNumberFormat="1" applyFont="1" applyBorder="1" applyAlignment="1">
      <alignment horizontal="center" vertical="center" wrapText="1"/>
    </xf>
    <xf numFmtId="0" fontId="18" fillId="2" borderId="24" xfId="0" applyFont="1" applyFill="1" applyBorder="1" applyAlignment="1">
      <alignment horizontal="left" vertical="center" wrapText="1"/>
    </xf>
    <xf numFmtId="169" fontId="18" fillId="2" borderId="24" xfId="0" applyNumberFormat="1" applyFont="1" applyFill="1" applyBorder="1" applyAlignment="1">
      <alignment horizontal="center" vertical="center" wrapText="1"/>
    </xf>
    <xf numFmtId="164" fontId="18" fillId="2" borderId="24" xfId="1" applyNumberFormat="1" applyFont="1" applyFill="1" applyBorder="1" applyAlignment="1">
      <alignment horizontal="left" vertical="center" wrapText="1"/>
    </xf>
    <xf numFmtId="0" fontId="18" fillId="0" borderId="29" xfId="0" applyFont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2" fillId="0" borderId="22" xfId="0" applyFont="1" applyBorder="1" applyAlignment="1">
      <alignment horizontal="center" vertical="center" wrapText="1"/>
    </xf>
    <xf numFmtId="43" fontId="12" fillId="7" borderId="24" xfId="1" applyFont="1" applyFill="1" applyBorder="1" applyAlignment="1">
      <alignment horizontal="center" vertical="center" wrapText="1"/>
    </xf>
    <xf numFmtId="43" fontId="12" fillId="0" borderId="24" xfId="0" applyNumberFormat="1" applyFont="1" applyBorder="1" applyAlignment="1">
      <alignment vertical="center"/>
    </xf>
    <xf numFmtId="43" fontId="12" fillId="0" borderId="24" xfId="0" applyNumberFormat="1" applyFont="1" applyBorder="1" applyAlignment="1">
      <alignment horizontal="center" vertical="center"/>
    </xf>
    <xf numFmtId="43" fontId="12" fillId="2" borderId="24" xfId="0" applyNumberFormat="1" applyFont="1" applyFill="1" applyBorder="1" applyAlignment="1">
      <alignment horizontal="center" vertical="center"/>
    </xf>
    <xf numFmtId="43" fontId="12" fillId="7" borderId="24" xfId="1" applyFont="1" applyFill="1" applyBorder="1" applyAlignment="1">
      <alignment vertical="center" wrapText="1"/>
    </xf>
    <xf numFmtId="0" fontId="12" fillId="0" borderId="24" xfId="0" applyFont="1" applyBorder="1" applyAlignment="1">
      <alignment horizontal="center" vertical="center"/>
    </xf>
    <xf numFmtId="0" fontId="12" fillId="0" borderId="26" xfId="0" applyFont="1" applyBorder="1" applyAlignment="1">
      <alignment horizontal="center" vertical="center"/>
    </xf>
    <xf numFmtId="43" fontId="12" fillId="8" borderId="24" xfId="0" applyNumberFormat="1" applyFont="1" applyFill="1" applyBorder="1" applyAlignment="1">
      <alignment vertical="center"/>
    </xf>
    <xf numFmtId="0" fontId="20" fillId="2" borderId="24" xfId="0" applyFont="1" applyFill="1" applyBorder="1" applyAlignment="1">
      <alignment horizontal="left" vertical="center" wrapText="1"/>
    </xf>
    <xf numFmtId="169" fontId="20" fillId="2" borderId="24" xfId="0" applyNumberFormat="1" applyFont="1" applyFill="1" applyBorder="1" applyAlignment="1">
      <alignment horizontal="center" vertical="center" wrapText="1"/>
    </xf>
    <xf numFmtId="164" fontId="20" fillId="2" borderId="24" xfId="1" applyNumberFormat="1" applyFont="1" applyFill="1" applyBorder="1" applyAlignment="1">
      <alignment horizontal="left" vertical="center" wrapText="1"/>
    </xf>
    <xf numFmtId="43" fontId="20" fillId="7" borderId="24" xfId="1" applyFont="1" applyFill="1" applyBorder="1" applyAlignment="1">
      <alignment vertical="center" wrapText="1"/>
    </xf>
    <xf numFmtId="0" fontId="21" fillId="0" borderId="33" xfId="0" applyFont="1" applyBorder="1" applyAlignment="1">
      <alignment horizontal="center" vertical="center" wrapText="1"/>
    </xf>
    <xf numFmtId="43" fontId="21" fillId="0" borderId="34" xfId="0" applyNumberFormat="1" applyFont="1" applyBorder="1" applyAlignment="1">
      <alignment vertical="center"/>
    </xf>
    <xf numFmtId="43" fontId="22" fillId="0" borderId="10" xfId="1" applyFont="1" applyBorder="1" applyAlignment="1">
      <alignment vertical="center"/>
    </xf>
    <xf numFmtId="0" fontId="22" fillId="0" borderId="10" xfId="0" applyFont="1" applyBorder="1" applyAlignment="1">
      <alignment vertical="center"/>
    </xf>
    <xf numFmtId="43" fontId="22" fillId="0" borderId="10" xfId="0" applyNumberFormat="1" applyFont="1" applyBorder="1" applyAlignment="1">
      <alignment vertical="center"/>
    </xf>
    <xf numFmtId="43" fontId="22" fillId="0" borderId="15" xfId="0" applyNumberFormat="1" applyFont="1" applyBorder="1" applyAlignment="1">
      <alignment vertical="center"/>
    </xf>
    <xf numFmtId="0" fontId="3" fillId="0" borderId="35" xfId="0" applyFont="1" applyBorder="1"/>
    <xf numFmtId="0" fontId="23" fillId="0" borderId="0" xfId="0" applyFont="1"/>
    <xf numFmtId="0" fontId="0" fillId="0" borderId="37" xfId="0" applyBorder="1" applyAlignment="1">
      <alignment vertical="center" wrapText="1"/>
    </xf>
    <xf numFmtId="43" fontId="22" fillId="0" borderId="0" xfId="0" applyNumberFormat="1" applyFont="1" applyAlignment="1">
      <alignment vertical="center"/>
    </xf>
    <xf numFmtId="0" fontId="24" fillId="0" borderId="0" xfId="0" applyFont="1"/>
    <xf numFmtId="43" fontId="22" fillId="0" borderId="16" xfId="0" applyNumberFormat="1" applyFont="1" applyBorder="1" applyAlignment="1">
      <alignment horizontal="right"/>
    </xf>
    <xf numFmtId="0" fontId="26" fillId="0" borderId="0" xfId="0" applyFont="1" applyAlignment="1">
      <alignment horizontal="left"/>
    </xf>
    <xf numFmtId="0" fontId="26" fillId="0" borderId="0" xfId="0" applyFont="1"/>
    <xf numFmtId="43" fontId="21" fillId="0" borderId="38" xfId="0" applyNumberFormat="1" applyFont="1" applyBorder="1"/>
    <xf numFmtId="0" fontId="27" fillId="0" borderId="0" xfId="0" applyFont="1" applyAlignment="1">
      <alignment horizontal="center"/>
    </xf>
    <xf numFmtId="0" fontId="27" fillId="0" borderId="0" xfId="0" applyFont="1"/>
    <xf numFmtId="0" fontId="26" fillId="0" borderId="0" xfId="0" applyFont="1" applyAlignment="1">
      <alignment horizontal="center"/>
    </xf>
    <xf numFmtId="43" fontId="26" fillId="0" borderId="0" xfId="0" applyNumberFormat="1" applyFont="1"/>
    <xf numFmtId="0" fontId="28" fillId="0" borderId="0" xfId="0" applyFont="1"/>
    <xf numFmtId="0" fontId="28" fillId="0" borderId="1" xfId="0" applyFont="1" applyBorder="1"/>
    <xf numFmtId="43" fontId="18" fillId="0" borderId="0" xfId="1" applyFont="1" applyFill="1" applyBorder="1" applyAlignment="1">
      <alignment horizontal="center" vertical="center" wrapText="1"/>
    </xf>
    <xf numFmtId="43" fontId="18" fillId="7" borderId="0" xfId="1" applyFont="1" applyFill="1" applyBorder="1" applyAlignment="1">
      <alignment horizontal="center" vertical="center" wrapText="1"/>
    </xf>
    <xf numFmtId="43" fontId="18" fillId="3" borderId="0" xfId="0" applyNumberFormat="1" applyFont="1" applyFill="1" applyAlignment="1">
      <alignment horizontal="center" vertical="center"/>
    </xf>
    <xf numFmtId="43" fontId="19" fillId="7" borderId="0" xfId="1" applyFont="1" applyFill="1" applyBorder="1" applyAlignment="1">
      <alignment horizontal="center" vertical="center" wrapText="1"/>
    </xf>
    <xf numFmtId="0" fontId="29" fillId="0" borderId="0" xfId="0" applyFont="1"/>
    <xf numFmtId="0" fontId="0" fillId="0" borderId="39" xfId="0" applyBorder="1"/>
    <xf numFmtId="0" fontId="12" fillId="0" borderId="24" xfId="0" applyFont="1" applyBorder="1" applyAlignment="1">
      <alignment vertical="center" wrapText="1"/>
    </xf>
    <xf numFmtId="165" fontId="12" fillId="0" borderId="24" xfId="0" applyNumberFormat="1" applyFont="1" applyBorder="1" applyAlignment="1">
      <alignment horizontal="center" vertical="center"/>
    </xf>
    <xf numFmtId="0" fontId="12" fillId="0" borderId="40" xfId="0" applyFont="1" applyBorder="1" applyAlignment="1">
      <alignment horizontal="center" vertical="center" wrapText="1"/>
    </xf>
    <xf numFmtId="43" fontId="12" fillId="0" borderId="24" xfId="1" applyFont="1" applyBorder="1" applyAlignment="1">
      <alignment horizontal="right" vertical="center"/>
    </xf>
    <xf numFmtId="49" fontId="12" fillId="0" borderId="24" xfId="0" applyNumberFormat="1" applyFont="1" applyBorder="1" applyAlignment="1">
      <alignment horizontal="center" vertical="center" wrapText="1"/>
    </xf>
    <xf numFmtId="0" fontId="12" fillId="0" borderId="24" xfId="0" applyFont="1" applyBorder="1" applyAlignment="1">
      <alignment horizontal="center" vertical="center" wrapText="1"/>
    </xf>
    <xf numFmtId="43" fontId="12" fillId="3" borderId="24" xfId="0" applyNumberFormat="1" applyFont="1" applyFill="1" applyBorder="1" applyAlignment="1">
      <alignment horizontal="center" vertical="center"/>
    </xf>
    <xf numFmtId="43" fontId="12" fillId="0" borderId="24" xfId="1" applyFont="1" applyFill="1" applyBorder="1" applyAlignment="1">
      <alignment vertical="center" wrapText="1"/>
    </xf>
    <xf numFmtId="43" fontId="12" fillId="7" borderId="24" xfId="1" applyFont="1" applyFill="1" applyBorder="1" applyAlignment="1">
      <alignment horizontal="right" vertical="center" wrapText="1"/>
    </xf>
    <xf numFmtId="0" fontId="18" fillId="0" borderId="40" xfId="0" applyFont="1" applyBorder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18" fillId="0" borderId="40" xfId="0" applyFont="1" applyBorder="1" applyAlignment="1">
      <alignment horizontal="center" vertical="center" wrapText="1"/>
    </xf>
    <xf numFmtId="43" fontId="18" fillId="3" borderId="24" xfId="0" applyNumberFormat="1" applyFont="1" applyFill="1" applyBorder="1" applyAlignment="1">
      <alignment horizontal="center" vertical="center"/>
    </xf>
    <xf numFmtId="0" fontId="19" fillId="0" borderId="39" xfId="0" applyFont="1" applyBorder="1" applyAlignment="1">
      <alignment horizontal="center" vertical="center"/>
    </xf>
    <xf numFmtId="169" fontId="18" fillId="2" borderId="40" xfId="0" applyNumberFormat="1" applyFont="1" applyFill="1" applyBorder="1" applyAlignment="1">
      <alignment horizontal="center" vertical="center" wrapText="1"/>
    </xf>
    <xf numFmtId="0" fontId="19" fillId="0" borderId="24" xfId="0" applyFont="1" applyBorder="1" applyAlignment="1">
      <alignment horizontal="center" vertical="center" wrapText="1"/>
    </xf>
    <xf numFmtId="0" fontId="19" fillId="2" borderId="24" xfId="0" applyFont="1" applyFill="1" applyBorder="1" applyAlignment="1">
      <alignment horizontal="left" vertical="center" wrapText="1"/>
    </xf>
    <xf numFmtId="0" fontId="18" fillId="0" borderId="41" xfId="0" applyFont="1" applyBorder="1" applyAlignment="1">
      <alignment horizontal="center" vertical="center" wrapText="1"/>
    </xf>
    <xf numFmtId="0" fontId="18" fillId="2" borderId="42" xfId="0" applyFont="1" applyFill="1" applyBorder="1" applyAlignment="1">
      <alignment horizontal="left" vertical="center" wrapText="1"/>
    </xf>
    <xf numFmtId="165" fontId="18" fillId="2" borderId="42" xfId="0" applyNumberFormat="1" applyFont="1" applyFill="1" applyBorder="1" applyAlignment="1">
      <alignment horizontal="center" vertical="center"/>
    </xf>
    <xf numFmtId="169" fontId="18" fillId="2" borderId="43" xfId="0" applyNumberFormat="1" applyFont="1" applyFill="1" applyBorder="1" applyAlignment="1">
      <alignment horizontal="center" vertical="center" wrapText="1"/>
    </xf>
    <xf numFmtId="164" fontId="18" fillId="2" borderId="42" xfId="1" applyNumberFormat="1" applyFont="1" applyFill="1" applyBorder="1" applyAlignment="1">
      <alignment horizontal="left" vertical="center" wrapText="1"/>
    </xf>
    <xf numFmtId="49" fontId="18" fillId="2" borderId="42" xfId="0" applyNumberFormat="1" applyFont="1" applyFill="1" applyBorder="1" applyAlignment="1">
      <alignment horizontal="center" vertical="center" wrapText="1"/>
    </xf>
    <xf numFmtId="0" fontId="18" fillId="0" borderId="44" xfId="0" applyFont="1" applyBorder="1" applyAlignment="1">
      <alignment horizontal="center" vertical="center" wrapText="1"/>
    </xf>
    <xf numFmtId="0" fontId="18" fillId="2" borderId="45" xfId="0" applyFont="1" applyFill="1" applyBorder="1" applyAlignment="1">
      <alignment horizontal="left" vertical="center" wrapText="1"/>
    </xf>
    <xf numFmtId="165" fontId="18" fillId="2" borderId="45" xfId="0" applyNumberFormat="1" applyFont="1" applyFill="1" applyBorder="1" applyAlignment="1">
      <alignment horizontal="center" vertical="center"/>
    </xf>
    <xf numFmtId="169" fontId="18" fillId="2" borderId="46" xfId="0" applyNumberFormat="1" applyFont="1" applyFill="1" applyBorder="1" applyAlignment="1">
      <alignment horizontal="center" vertical="center" wrapText="1"/>
    </xf>
    <xf numFmtId="164" fontId="18" fillId="2" borderId="45" xfId="1" applyNumberFormat="1" applyFont="1" applyFill="1" applyBorder="1" applyAlignment="1">
      <alignment horizontal="left" vertical="center" wrapText="1"/>
    </xf>
    <xf numFmtId="49" fontId="18" fillId="2" borderId="45" xfId="0" applyNumberFormat="1" applyFont="1" applyFill="1" applyBorder="1" applyAlignment="1">
      <alignment horizontal="center" vertical="center" wrapText="1"/>
    </xf>
    <xf numFmtId="43" fontId="18" fillId="7" borderId="45" xfId="1" applyFont="1" applyFill="1" applyBorder="1" applyAlignment="1">
      <alignment horizontal="center" vertical="center" wrapText="1"/>
    </xf>
    <xf numFmtId="43" fontId="18" fillId="0" borderId="45" xfId="0" applyNumberFormat="1" applyFont="1" applyBorder="1" applyAlignment="1">
      <alignment vertical="center"/>
    </xf>
    <xf numFmtId="43" fontId="18" fillId="0" borderId="45" xfId="0" applyNumberFormat="1" applyFont="1" applyBorder="1" applyAlignment="1">
      <alignment horizontal="center" vertical="center"/>
    </xf>
    <xf numFmtId="43" fontId="18" fillId="3" borderId="45" xfId="0" applyNumberFormat="1" applyFont="1" applyFill="1" applyBorder="1" applyAlignment="1">
      <alignment horizontal="center" vertical="center"/>
    </xf>
    <xf numFmtId="43" fontId="18" fillId="0" borderId="45" xfId="1" applyFont="1" applyFill="1" applyBorder="1" applyAlignment="1">
      <alignment vertical="center" wrapText="1"/>
    </xf>
    <xf numFmtId="43" fontId="18" fillId="7" borderId="45" xfId="1" applyFont="1" applyFill="1" applyBorder="1" applyAlignment="1">
      <alignment horizontal="right" vertical="center" wrapText="1"/>
    </xf>
    <xf numFmtId="0" fontId="18" fillId="0" borderId="45" xfId="0" applyFont="1" applyBorder="1" applyAlignment="1">
      <alignment horizontal="center" vertical="center"/>
    </xf>
    <xf numFmtId="0" fontId="18" fillId="0" borderId="47" xfId="0" applyFont="1" applyBorder="1" applyAlignment="1">
      <alignment horizontal="center" vertical="center"/>
    </xf>
    <xf numFmtId="43" fontId="18" fillId="3" borderId="23" xfId="0" applyNumberFormat="1" applyFont="1" applyFill="1" applyBorder="1" applyAlignment="1">
      <alignment horizontal="center" vertical="center"/>
    </xf>
    <xf numFmtId="0" fontId="18" fillId="0" borderId="48" xfId="0" applyFont="1" applyBorder="1" applyAlignment="1">
      <alignment horizontal="center" vertical="center" wrapText="1"/>
    </xf>
    <xf numFmtId="0" fontId="18" fillId="2" borderId="49" xfId="0" applyFont="1" applyFill="1" applyBorder="1" applyAlignment="1">
      <alignment horizontal="left" vertical="center" wrapText="1"/>
    </xf>
    <xf numFmtId="165" fontId="18" fillId="2" borderId="49" xfId="0" applyNumberFormat="1" applyFont="1" applyFill="1" applyBorder="1" applyAlignment="1">
      <alignment horizontal="center" vertical="center"/>
    </xf>
    <xf numFmtId="169" fontId="18" fillId="2" borderId="50" xfId="0" applyNumberFormat="1" applyFont="1" applyFill="1" applyBorder="1" applyAlignment="1">
      <alignment horizontal="center" vertical="center" wrapText="1"/>
    </xf>
    <xf numFmtId="164" fontId="18" fillId="2" borderId="49" xfId="1" applyNumberFormat="1" applyFont="1" applyFill="1" applyBorder="1" applyAlignment="1">
      <alignment horizontal="left" vertical="center" wrapText="1"/>
    </xf>
    <xf numFmtId="49" fontId="18" fillId="2" borderId="49" xfId="0" applyNumberFormat="1" applyFont="1" applyFill="1" applyBorder="1" applyAlignment="1">
      <alignment horizontal="center" vertical="center" wrapText="1"/>
    </xf>
    <xf numFmtId="43" fontId="18" fillId="7" borderId="49" xfId="1" applyFont="1" applyFill="1" applyBorder="1" applyAlignment="1">
      <alignment horizontal="center" vertical="center" wrapText="1"/>
    </xf>
    <xf numFmtId="43" fontId="18" fillId="0" borderId="49" xfId="0" applyNumberFormat="1" applyFont="1" applyBorder="1" applyAlignment="1">
      <alignment vertical="center"/>
    </xf>
    <xf numFmtId="43" fontId="18" fillId="0" borderId="49" xfId="0" applyNumberFormat="1" applyFont="1" applyBorder="1" applyAlignment="1">
      <alignment horizontal="center" vertical="center"/>
    </xf>
    <xf numFmtId="43" fontId="18" fillId="3" borderId="49" xfId="0" applyNumberFormat="1" applyFont="1" applyFill="1" applyBorder="1" applyAlignment="1">
      <alignment horizontal="center" vertical="center"/>
    </xf>
    <xf numFmtId="43" fontId="18" fillId="2" borderId="49" xfId="0" applyNumberFormat="1" applyFont="1" applyFill="1" applyBorder="1" applyAlignment="1">
      <alignment horizontal="center" vertical="center"/>
    </xf>
    <xf numFmtId="43" fontId="18" fillId="0" borderId="49" xfId="1" applyFont="1" applyFill="1" applyBorder="1" applyAlignment="1">
      <alignment vertical="center" wrapText="1"/>
    </xf>
    <xf numFmtId="43" fontId="18" fillId="7" borderId="49" xfId="1" applyFont="1" applyFill="1" applyBorder="1" applyAlignment="1">
      <alignment horizontal="right" vertical="center" wrapText="1"/>
    </xf>
    <xf numFmtId="0" fontId="18" fillId="0" borderId="49" xfId="0" applyFont="1" applyBorder="1" applyAlignment="1">
      <alignment horizontal="center" vertical="center"/>
    </xf>
    <xf numFmtId="0" fontId="18" fillId="0" borderId="51" xfId="0" applyFont="1" applyBorder="1" applyAlignment="1">
      <alignment horizontal="center" vertical="center"/>
    </xf>
    <xf numFmtId="0" fontId="18" fillId="0" borderId="30" xfId="0" applyFont="1" applyBorder="1" applyAlignment="1">
      <alignment horizontal="center" vertical="center" wrapText="1"/>
    </xf>
    <xf numFmtId="0" fontId="18" fillId="2" borderId="31" xfId="0" applyFont="1" applyFill="1" applyBorder="1" applyAlignment="1">
      <alignment horizontal="left" vertical="center" wrapText="1"/>
    </xf>
    <xf numFmtId="165" fontId="18" fillId="2" borderId="31" xfId="0" applyNumberFormat="1" applyFont="1" applyFill="1" applyBorder="1" applyAlignment="1">
      <alignment horizontal="center" vertical="center"/>
    </xf>
    <xf numFmtId="169" fontId="18" fillId="2" borderId="31" xfId="0" applyNumberFormat="1" applyFont="1" applyFill="1" applyBorder="1" applyAlignment="1">
      <alignment horizontal="center" vertical="center" wrapText="1"/>
    </xf>
    <xf numFmtId="164" fontId="18" fillId="2" borderId="31" xfId="1" applyNumberFormat="1" applyFont="1" applyFill="1" applyBorder="1" applyAlignment="1">
      <alignment horizontal="left" vertical="center" wrapText="1"/>
    </xf>
    <xf numFmtId="49" fontId="18" fillId="2" borderId="31" xfId="0" applyNumberFormat="1" applyFont="1" applyFill="1" applyBorder="1" applyAlignment="1">
      <alignment horizontal="center" vertical="center" wrapText="1"/>
    </xf>
    <xf numFmtId="43" fontId="18" fillId="7" borderId="31" xfId="1" applyFont="1" applyFill="1" applyBorder="1" applyAlignment="1">
      <alignment horizontal="center" vertical="center" wrapText="1"/>
    </xf>
    <xf numFmtId="43" fontId="18" fillId="0" borderId="31" xfId="0" applyNumberFormat="1" applyFont="1" applyBorder="1" applyAlignment="1">
      <alignment vertical="center"/>
    </xf>
    <xf numFmtId="43" fontId="18" fillId="0" borderId="31" xfId="0" applyNumberFormat="1" applyFont="1" applyBorder="1" applyAlignment="1">
      <alignment horizontal="center" vertical="center"/>
    </xf>
    <xf numFmtId="43" fontId="18" fillId="2" borderId="31" xfId="0" applyNumberFormat="1" applyFont="1" applyFill="1" applyBorder="1" applyAlignment="1">
      <alignment horizontal="center" vertical="center"/>
    </xf>
    <xf numFmtId="43" fontId="18" fillId="7" borderId="31" xfId="1" applyFont="1" applyFill="1" applyBorder="1" applyAlignment="1">
      <alignment vertical="center" wrapText="1"/>
    </xf>
    <xf numFmtId="0" fontId="18" fillId="0" borderId="31" xfId="0" applyFont="1" applyBorder="1" applyAlignment="1">
      <alignment horizontal="center" vertical="center"/>
    </xf>
    <xf numFmtId="0" fontId="18" fillId="0" borderId="32" xfId="0" applyFont="1" applyBorder="1" applyAlignment="1">
      <alignment horizontal="center" vertical="center"/>
    </xf>
    <xf numFmtId="0" fontId="19" fillId="0" borderId="52" xfId="0" applyFont="1" applyBorder="1" applyAlignment="1">
      <alignment horizontal="center" vertical="center" wrapText="1"/>
    </xf>
    <xf numFmtId="0" fontId="19" fillId="2" borderId="53" xfId="0" applyFont="1" applyFill="1" applyBorder="1" applyAlignment="1">
      <alignment horizontal="left" vertical="center" wrapText="1"/>
    </xf>
    <xf numFmtId="165" fontId="19" fillId="2" borderId="53" xfId="0" applyNumberFormat="1" applyFont="1" applyFill="1" applyBorder="1" applyAlignment="1">
      <alignment horizontal="center" vertical="center"/>
    </xf>
    <xf numFmtId="164" fontId="19" fillId="2" borderId="53" xfId="1" applyNumberFormat="1" applyFont="1" applyFill="1" applyBorder="1" applyAlignment="1">
      <alignment horizontal="left" vertical="center" wrapText="1"/>
    </xf>
    <xf numFmtId="49" fontId="19" fillId="2" borderId="53" xfId="0" applyNumberFormat="1" applyFont="1" applyFill="1" applyBorder="1" applyAlignment="1">
      <alignment horizontal="center" vertical="center" wrapText="1"/>
    </xf>
    <xf numFmtId="43" fontId="18" fillId="7" borderId="53" xfId="1" applyFont="1" applyFill="1" applyBorder="1" applyAlignment="1">
      <alignment horizontal="center" vertical="center" wrapText="1"/>
    </xf>
    <xf numFmtId="43" fontId="18" fillId="0" borderId="53" xfId="0" applyNumberFormat="1" applyFont="1" applyBorder="1" applyAlignment="1">
      <alignment vertical="center"/>
    </xf>
    <xf numFmtId="43" fontId="18" fillId="0" borderId="53" xfId="0" applyNumberFormat="1" applyFont="1" applyBorder="1" applyAlignment="1">
      <alignment horizontal="center" vertical="center"/>
    </xf>
    <xf numFmtId="43" fontId="18" fillId="2" borderId="53" xfId="0" applyNumberFormat="1" applyFont="1" applyFill="1" applyBorder="1" applyAlignment="1">
      <alignment horizontal="center" vertical="center"/>
    </xf>
    <xf numFmtId="43" fontId="19" fillId="0" borderId="53" xfId="0" applyNumberFormat="1" applyFont="1" applyBorder="1" applyAlignment="1">
      <alignment horizontal="center" vertical="center"/>
    </xf>
    <xf numFmtId="43" fontId="19" fillId="7" borderId="53" xfId="1" applyFont="1" applyFill="1" applyBorder="1" applyAlignment="1">
      <alignment vertical="center" wrapText="1"/>
    </xf>
    <xf numFmtId="0" fontId="19" fillId="0" borderId="53" xfId="0" applyFont="1" applyBorder="1" applyAlignment="1">
      <alignment horizontal="center" vertical="center"/>
    </xf>
    <xf numFmtId="0" fontId="19" fillId="0" borderId="54" xfId="0" applyFont="1" applyBorder="1" applyAlignment="1">
      <alignment horizontal="center" vertical="center"/>
    </xf>
    <xf numFmtId="0" fontId="19" fillId="0" borderId="22" xfId="0" applyFont="1" applyBorder="1" applyAlignment="1">
      <alignment horizontal="center" vertical="center" wrapText="1"/>
    </xf>
    <xf numFmtId="165" fontId="19" fillId="2" borderId="24" xfId="0" applyNumberFormat="1" applyFont="1" applyFill="1" applyBorder="1" applyAlignment="1">
      <alignment horizontal="center" vertical="center"/>
    </xf>
    <xf numFmtId="169" fontId="19" fillId="2" borderId="24" xfId="0" applyNumberFormat="1" applyFont="1" applyFill="1" applyBorder="1" applyAlignment="1">
      <alignment horizontal="center" vertical="center" wrapText="1"/>
    </xf>
    <xf numFmtId="164" fontId="19" fillId="2" borderId="24" xfId="1" applyNumberFormat="1" applyFont="1" applyFill="1" applyBorder="1" applyAlignment="1">
      <alignment horizontal="left" vertical="center" wrapText="1"/>
    </xf>
    <xf numFmtId="49" fontId="19" fillId="2" borderId="24" xfId="0" applyNumberFormat="1" applyFont="1" applyFill="1" applyBorder="1" applyAlignment="1">
      <alignment horizontal="center" vertical="center" wrapText="1"/>
    </xf>
    <xf numFmtId="43" fontId="19" fillId="0" borderId="24" xfId="0" applyNumberFormat="1" applyFont="1" applyBorder="1" applyAlignment="1">
      <alignment horizontal="center" vertical="center"/>
    </xf>
    <xf numFmtId="43" fontId="19" fillId="7" borderId="24" xfId="1" applyFont="1" applyFill="1" applyBorder="1" applyAlignment="1">
      <alignment vertical="center" wrapText="1"/>
    </xf>
    <xf numFmtId="0" fontId="19" fillId="0" borderId="24" xfId="0" applyFont="1" applyBorder="1" applyAlignment="1">
      <alignment horizontal="center" vertical="center"/>
    </xf>
    <xf numFmtId="0" fontId="19" fillId="0" borderId="26" xfId="0" applyFont="1" applyBorder="1" applyAlignment="1">
      <alignment horizontal="center" vertical="center"/>
    </xf>
    <xf numFmtId="0" fontId="19" fillId="0" borderId="30" xfId="0" applyFont="1" applyBorder="1" applyAlignment="1">
      <alignment horizontal="center" vertical="center" wrapText="1"/>
    </xf>
    <xf numFmtId="0" fontId="19" fillId="2" borderId="31" xfId="0" applyFont="1" applyFill="1" applyBorder="1" applyAlignment="1">
      <alignment horizontal="left" vertical="center" wrapText="1"/>
    </xf>
    <xf numFmtId="165" fontId="19" fillId="2" borderId="31" xfId="0" applyNumberFormat="1" applyFont="1" applyFill="1" applyBorder="1" applyAlignment="1">
      <alignment horizontal="center" vertical="center"/>
    </xf>
    <xf numFmtId="169" fontId="19" fillId="2" borderId="31" xfId="0" applyNumberFormat="1" applyFont="1" applyFill="1" applyBorder="1" applyAlignment="1">
      <alignment horizontal="center" vertical="center" wrapText="1"/>
    </xf>
    <xf numFmtId="164" fontId="19" fillId="2" borderId="31" xfId="1" applyNumberFormat="1" applyFont="1" applyFill="1" applyBorder="1" applyAlignment="1">
      <alignment horizontal="left" vertical="center" wrapText="1"/>
    </xf>
    <xf numFmtId="49" fontId="19" fillId="2" borderId="31" xfId="0" applyNumberFormat="1" applyFont="1" applyFill="1" applyBorder="1" applyAlignment="1">
      <alignment horizontal="center" vertical="center" wrapText="1"/>
    </xf>
    <xf numFmtId="43" fontId="19" fillId="0" borderId="31" xfId="0" applyNumberFormat="1" applyFont="1" applyBorder="1" applyAlignment="1">
      <alignment horizontal="center" vertical="center"/>
    </xf>
    <xf numFmtId="43" fontId="19" fillId="7" borderId="31" xfId="1" applyFont="1" applyFill="1" applyBorder="1" applyAlignment="1">
      <alignment vertical="center" wrapText="1"/>
    </xf>
    <xf numFmtId="0" fontId="19" fillId="0" borderId="31" xfId="0" applyFont="1" applyBorder="1" applyAlignment="1">
      <alignment horizontal="center" vertical="center"/>
    </xf>
    <xf numFmtId="0" fontId="19" fillId="0" borderId="32" xfId="0" applyFont="1" applyBorder="1" applyAlignment="1">
      <alignment horizontal="center" vertical="center"/>
    </xf>
    <xf numFmtId="43" fontId="19" fillId="7" borderId="24" xfId="1" applyFont="1" applyFill="1" applyBorder="1" applyAlignment="1">
      <alignment horizontal="center" vertical="center" wrapText="1"/>
    </xf>
    <xf numFmtId="49" fontId="19" fillId="2" borderId="42" xfId="0" applyNumberFormat="1" applyFont="1" applyFill="1" applyBorder="1" applyAlignment="1">
      <alignment horizontal="center" vertical="center" wrapText="1"/>
    </xf>
    <xf numFmtId="0" fontId="19" fillId="2" borderId="23" xfId="0" applyFont="1" applyFill="1" applyBorder="1" applyAlignment="1">
      <alignment horizontal="left" vertical="center" wrapText="1"/>
    </xf>
    <xf numFmtId="164" fontId="19" fillId="2" borderId="23" xfId="1" applyNumberFormat="1" applyFont="1" applyFill="1" applyBorder="1" applyAlignment="1">
      <alignment horizontal="left" vertical="center" wrapText="1"/>
    </xf>
    <xf numFmtId="49" fontId="19" fillId="2" borderId="23" xfId="0" applyNumberFormat="1" applyFont="1" applyFill="1" applyBorder="1" applyAlignment="1">
      <alignment horizontal="center" vertical="center" wrapText="1"/>
    </xf>
    <xf numFmtId="43" fontId="19" fillId="7" borderId="45" xfId="1" applyFont="1" applyFill="1" applyBorder="1" applyAlignment="1">
      <alignment horizontal="center" vertical="center" wrapText="1"/>
    </xf>
    <xf numFmtId="165" fontId="19" fillId="2" borderId="23" xfId="0" applyNumberFormat="1" applyFont="1" applyFill="1" applyBorder="1" applyAlignment="1">
      <alignment horizontal="center" vertical="center"/>
    </xf>
    <xf numFmtId="43" fontId="19" fillId="7" borderId="23" xfId="1" applyFont="1" applyFill="1" applyBorder="1" applyAlignment="1">
      <alignment horizontal="center" vertical="center" wrapText="1"/>
    </xf>
    <xf numFmtId="43" fontId="19" fillId="0" borderId="23" xfId="0" applyNumberFormat="1" applyFont="1" applyBorder="1" applyAlignment="1">
      <alignment vertical="center"/>
    </xf>
    <xf numFmtId="43" fontId="19" fillId="0" borderId="23" xfId="0" applyNumberFormat="1" applyFont="1" applyBorder="1" applyAlignment="1">
      <alignment horizontal="center" vertical="center"/>
    </xf>
    <xf numFmtId="0" fontId="19" fillId="0" borderId="23" xfId="0" applyFont="1" applyBorder="1" applyAlignment="1">
      <alignment horizontal="center" vertical="center"/>
    </xf>
    <xf numFmtId="43" fontId="19" fillId="0" borderId="24" xfId="0" applyNumberFormat="1" applyFont="1" applyBorder="1" applyAlignment="1">
      <alignment vertical="center"/>
    </xf>
    <xf numFmtId="0" fontId="12" fillId="0" borderId="16" xfId="0" applyFont="1" applyBorder="1" applyAlignment="1">
      <alignment horizontal="center" vertical="center"/>
    </xf>
    <xf numFmtId="0" fontId="19" fillId="0" borderId="49" xfId="0" applyFont="1" applyBorder="1" applyAlignment="1">
      <alignment horizontal="center" vertical="center"/>
    </xf>
    <xf numFmtId="0" fontId="19" fillId="0" borderId="40" xfId="0" applyFont="1" applyBorder="1" applyAlignment="1">
      <alignment horizontal="center" vertical="center"/>
    </xf>
    <xf numFmtId="43" fontId="19" fillId="0" borderId="49" xfId="0" applyNumberFormat="1" applyFont="1" applyBorder="1" applyAlignment="1">
      <alignment horizontal="center" vertical="center"/>
    </xf>
    <xf numFmtId="43" fontId="0" fillId="0" borderId="0" xfId="0" applyNumberFormat="1"/>
    <xf numFmtId="43" fontId="18" fillId="7" borderId="42" xfId="1" applyFont="1" applyFill="1" applyBorder="1" applyAlignment="1">
      <alignment horizontal="center" vertical="center" wrapText="1"/>
    </xf>
    <xf numFmtId="43" fontId="18" fillId="7" borderId="8" xfId="1" applyFont="1" applyFill="1" applyBorder="1" applyAlignment="1">
      <alignment horizontal="center" vertical="center" wrapText="1"/>
    </xf>
    <xf numFmtId="0" fontId="18" fillId="0" borderId="42" xfId="0" applyFont="1" applyBorder="1" applyAlignment="1">
      <alignment horizontal="center" vertical="center"/>
    </xf>
    <xf numFmtId="0" fontId="33" fillId="0" borderId="24" xfId="0" applyFont="1" applyBorder="1" applyAlignment="1">
      <alignment horizontal="center" vertical="center"/>
    </xf>
    <xf numFmtId="0" fontId="33" fillId="0" borderId="23" xfId="0" applyFont="1" applyBorder="1" applyAlignment="1">
      <alignment horizontal="center" vertical="center"/>
    </xf>
    <xf numFmtId="0" fontId="33" fillId="2" borderId="24" xfId="0" applyFont="1" applyFill="1" applyBorder="1" applyAlignment="1">
      <alignment horizontal="left" vertical="center" wrapText="1"/>
    </xf>
    <xf numFmtId="169" fontId="32" fillId="2" borderId="53" xfId="0" applyNumberFormat="1" applyFont="1" applyFill="1" applyBorder="1" applyAlignment="1">
      <alignment horizontal="center" vertical="center" wrapText="1"/>
    </xf>
    <xf numFmtId="0" fontId="34" fillId="2" borderId="24" xfId="0" applyFont="1" applyFill="1" applyBorder="1" applyAlignment="1">
      <alignment horizontal="left" vertical="center" wrapText="1"/>
    </xf>
    <xf numFmtId="169" fontId="32" fillId="2" borderId="24" xfId="0" applyNumberFormat="1" applyFont="1" applyFill="1" applyBorder="1" applyAlignment="1">
      <alignment horizontal="center" vertical="center" wrapText="1"/>
    </xf>
    <xf numFmtId="49" fontId="33" fillId="2" borderId="24" xfId="0" applyNumberFormat="1" applyFont="1" applyFill="1" applyBorder="1" applyAlignment="1">
      <alignment horizontal="center" vertical="center" wrapText="1"/>
    </xf>
    <xf numFmtId="0" fontId="2" fillId="0" borderId="0" xfId="0" applyFont="1"/>
    <xf numFmtId="14" fontId="0" fillId="0" borderId="0" xfId="0" applyNumberFormat="1"/>
    <xf numFmtId="0" fontId="36" fillId="0" borderId="0" xfId="0" applyFont="1"/>
    <xf numFmtId="0" fontId="19" fillId="0" borderId="27" xfId="0" applyFont="1" applyBorder="1" applyAlignment="1">
      <alignment horizontal="center" vertical="center" wrapText="1"/>
    </xf>
    <xf numFmtId="169" fontId="19" fillId="2" borderId="23" xfId="0" applyNumberFormat="1" applyFont="1" applyFill="1" applyBorder="1" applyAlignment="1">
      <alignment horizontal="center" vertical="center" wrapText="1"/>
    </xf>
    <xf numFmtId="43" fontId="19" fillId="7" borderId="23" xfId="1" applyFont="1" applyFill="1" applyBorder="1" applyAlignment="1">
      <alignment vertical="center" wrapText="1"/>
    </xf>
    <xf numFmtId="0" fontId="19" fillId="0" borderId="28" xfId="0" applyFont="1" applyBorder="1" applyAlignment="1">
      <alignment horizontal="center" vertical="center"/>
    </xf>
    <xf numFmtId="0" fontId="19" fillId="0" borderId="48" xfId="0" applyFont="1" applyBorder="1" applyAlignment="1">
      <alignment horizontal="center" vertical="center" wrapText="1"/>
    </xf>
    <xf numFmtId="0" fontId="19" fillId="2" borderId="49" xfId="0" applyFont="1" applyFill="1" applyBorder="1" applyAlignment="1">
      <alignment horizontal="left" vertical="center" wrapText="1"/>
    </xf>
    <xf numFmtId="165" fontId="19" fillId="2" borderId="49" xfId="0" applyNumberFormat="1" applyFont="1" applyFill="1" applyBorder="1" applyAlignment="1">
      <alignment horizontal="center" vertical="center"/>
    </xf>
    <xf numFmtId="169" fontId="19" fillId="2" borderId="49" xfId="0" applyNumberFormat="1" applyFont="1" applyFill="1" applyBorder="1" applyAlignment="1">
      <alignment horizontal="center" vertical="center" wrapText="1"/>
    </xf>
    <xf numFmtId="164" fontId="19" fillId="2" borderId="49" xfId="1" applyNumberFormat="1" applyFont="1" applyFill="1" applyBorder="1" applyAlignment="1">
      <alignment horizontal="left" vertical="center" wrapText="1"/>
    </xf>
    <xf numFmtId="49" fontId="19" fillId="2" borderId="49" xfId="0" applyNumberFormat="1" applyFont="1" applyFill="1" applyBorder="1" applyAlignment="1">
      <alignment horizontal="center" vertical="center" wrapText="1"/>
    </xf>
    <xf numFmtId="43" fontId="19" fillId="7" borderId="49" xfId="1" applyFont="1" applyFill="1" applyBorder="1" applyAlignment="1">
      <alignment vertical="center" wrapText="1"/>
    </xf>
    <xf numFmtId="0" fontId="19" fillId="0" borderId="51" xfId="0" applyFont="1" applyBorder="1" applyAlignment="1">
      <alignment horizontal="center" vertical="center"/>
    </xf>
    <xf numFmtId="0" fontId="0" fillId="0" borderId="16" xfId="0" applyBorder="1"/>
    <xf numFmtId="0" fontId="19" fillId="0" borderId="16" xfId="0" applyFont="1" applyBorder="1" applyAlignment="1">
      <alignment horizontal="center" vertical="center"/>
    </xf>
    <xf numFmtId="0" fontId="21" fillId="0" borderId="57" xfId="0" applyFont="1" applyBorder="1" applyAlignment="1">
      <alignment horizontal="center" vertical="center" wrapText="1"/>
    </xf>
    <xf numFmtId="169" fontId="19" fillId="2" borderId="42" xfId="0" applyNumberFormat="1" applyFont="1" applyFill="1" applyBorder="1" applyAlignment="1">
      <alignment horizontal="center" vertical="center" wrapText="1"/>
    </xf>
    <xf numFmtId="43" fontId="19" fillId="7" borderId="42" xfId="1" applyFont="1" applyFill="1" applyBorder="1" applyAlignment="1">
      <alignment horizontal="center" vertical="center" wrapText="1"/>
    </xf>
    <xf numFmtId="43" fontId="19" fillId="0" borderId="42" xfId="0" applyNumberFormat="1" applyFont="1" applyBorder="1" applyAlignment="1">
      <alignment vertical="center"/>
    </xf>
    <xf numFmtId="43" fontId="19" fillId="0" borderId="42" xfId="0" applyNumberFormat="1" applyFont="1" applyBorder="1" applyAlignment="1">
      <alignment horizontal="center" vertical="center"/>
    </xf>
    <xf numFmtId="43" fontId="19" fillId="2" borderId="42" xfId="0" applyNumberFormat="1" applyFont="1" applyFill="1" applyBorder="1" applyAlignment="1">
      <alignment horizontal="center" vertical="center"/>
    </xf>
    <xf numFmtId="0" fontId="19" fillId="0" borderId="58" xfId="0" applyFont="1" applyBorder="1" applyAlignment="1">
      <alignment horizontal="center" vertical="center"/>
    </xf>
    <xf numFmtId="0" fontId="19" fillId="0" borderId="55" xfId="0" applyFont="1" applyBorder="1" applyAlignment="1">
      <alignment horizontal="center" vertical="center"/>
    </xf>
    <xf numFmtId="0" fontId="19" fillId="0" borderId="41" xfId="0" applyFont="1" applyBorder="1" applyAlignment="1">
      <alignment horizontal="center" vertical="center" wrapText="1"/>
    </xf>
    <xf numFmtId="0" fontId="12" fillId="0" borderId="24" xfId="0" applyFont="1" applyBorder="1" applyAlignment="1">
      <alignment horizontal="left" vertical="center" wrapText="1"/>
    </xf>
    <xf numFmtId="169" fontId="12" fillId="0" borderId="24" xfId="0" applyNumberFormat="1" applyFont="1" applyBorder="1" applyAlignment="1">
      <alignment horizontal="center" vertical="center" wrapText="1"/>
    </xf>
    <xf numFmtId="164" fontId="12" fillId="0" borderId="24" xfId="1" applyNumberFormat="1" applyFont="1" applyFill="1" applyBorder="1" applyAlignment="1">
      <alignment horizontal="left" vertical="center" wrapText="1"/>
    </xf>
    <xf numFmtId="43" fontId="12" fillId="0" borderId="24" xfId="1" applyFont="1" applyFill="1" applyBorder="1" applyAlignment="1">
      <alignment horizontal="center" vertical="center" wrapText="1"/>
    </xf>
    <xf numFmtId="0" fontId="12" fillId="0" borderId="55" xfId="0" applyFont="1" applyBorder="1" applyAlignment="1">
      <alignment horizontal="center" vertical="center"/>
    </xf>
    <xf numFmtId="0" fontId="12" fillId="0" borderId="42" xfId="0" applyFont="1" applyBorder="1" applyAlignment="1">
      <alignment horizontal="left" vertical="center" wrapText="1"/>
    </xf>
    <xf numFmtId="169" fontId="12" fillId="0" borderId="42" xfId="0" applyNumberFormat="1" applyFont="1" applyBorder="1" applyAlignment="1">
      <alignment horizontal="center" vertical="center" wrapText="1"/>
    </xf>
    <xf numFmtId="165" fontId="12" fillId="0" borderId="8" xfId="0" applyNumberFormat="1" applyFont="1" applyBorder="1" applyAlignment="1">
      <alignment horizontal="center" vertical="center"/>
    </xf>
    <xf numFmtId="164" fontId="12" fillId="0" borderId="8" xfId="1" applyNumberFormat="1" applyFont="1" applyFill="1" applyBorder="1" applyAlignment="1">
      <alignment horizontal="left" vertical="center" wrapText="1"/>
    </xf>
    <xf numFmtId="43" fontId="19" fillId="0" borderId="45" xfId="0" applyNumberFormat="1" applyFont="1" applyBorder="1" applyAlignment="1">
      <alignment horizontal="center" vertical="center"/>
    </xf>
    <xf numFmtId="43" fontId="19" fillId="0" borderId="8" xfId="0" applyNumberFormat="1" applyFont="1" applyBorder="1" applyAlignment="1">
      <alignment horizontal="center" vertical="center"/>
    </xf>
    <xf numFmtId="43" fontId="19" fillId="0" borderId="53" xfId="0" applyNumberFormat="1" applyFont="1" applyBorder="1" applyAlignment="1">
      <alignment vertical="center"/>
    </xf>
    <xf numFmtId="0" fontId="19" fillId="0" borderId="56" xfId="0" applyFont="1" applyBorder="1" applyAlignment="1">
      <alignment horizontal="center" vertical="center"/>
    </xf>
    <xf numFmtId="43" fontId="19" fillId="2" borderId="24" xfId="0" applyNumberFormat="1" applyFont="1" applyFill="1" applyBorder="1" applyAlignment="1">
      <alignment horizontal="center" vertical="center"/>
    </xf>
    <xf numFmtId="0" fontId="19" fillId="0" borderId="40" xfId="0" applyFont="1" applyBorder="1" applyAlignment="1">
      <alignment horizontal="left" vertical="center" wrapText="1"/>
    </xf>
    <xf numFmtId="165" fontId="19" fillId="2" borderId="61" xfId="0" applyNumberFormat="1" applyFont="1" applyFill="1" applyBorder="1" applyAlignment="1">
      <alignment horizontal="center" vertical="center"/>
    </xf>
    <xf numFmtId="43" fontId="19" fillId="7" borderId="40" xfId="1" applyFont="1" applyFill="1" applyBorder="1" applyAlignment="1">
      <alignment vertical="center" wrapText="1"/>
    </xf>
    <xf numFmtId="43" fontId="18" fillId="7" borderId="24" xfId="1" applyFont="1" applyFill="1" applyBorder="1" applyAlignment="1">
      <alignment vertical="center" wrapText="1"/>
    </xf>
    <xf numFmtId="0" fontId="18" fillId="0" borderId="7" xfId="0" applyFont="1" applyBorder="1" applyAlignment="1">
      <alignment horizontal="center" vertical="center" wrapText="1"/>
    </xf>
    <xf numFmtId="0" fontId="6" fillId="0" borderId="0" xfId="0" applyFont="1" applyAlignment="1">
      <alignment horizontal="left" vertical="center"/>
    </xf>
    <xf numFmtId="0" fontId="18" fillId="0" borderId="1" xfId="0" applyFont="1" applyBorder="1" applyAlignment="1">
      <alignment horizontal="center" vertical="center"/>
    </xf>
    <xf numFmtId="43" fontId="18" fillId="0" borderId="1" xfId="1" applyFont="1" applyBorder="1" applyAlignment="1">
      <alignment horizontal="right" vertical="center"/>
    </xf>
    <xf numFmtId="43" fontId="18" fillId="0" borderId="42" xfId="1" applyFont="1" applyFill="1" applyBorder="1" applyAlignment="1">
      <alignment horizontal="center" vertical="center" wrapText="1"/>
    </xf>
    <xf numFmtId="43" fontId="18" fillId="0" borderId="8" xfId="0" applyNumberFormat="1" applyFont="1" applyBorder="1" applyAlignment="1">
      <alignment horizontal="center" vertical="center"/>
    </xf>
    <xf numFmtId="43" fontId="18" fillId="0" borderId="42" xfId="0" applyNumberFormat="1" applyFont="1" applyBorder="1" applyAlignment="1">
      <alignment horizontal="center" vertical="center"/>
    </xf>
    <xf numFmtId="43" fontId="18" fillId="7" borderId="8" xfId="1" applyFont="1" applyFill="1" applyBorder="1" applyAlignment="1">
      <alignment vertical="center" wrapText="1"/>
    </xf>
    <xf numFmtId="0" fontId="18" fillId="0" borderId="59" xfId="0" applyFont="1" applyBorder="1" applyAlignment="1">
      <alignment horizontal="center" vertical="center"/>
    </xf>
    <xf numFmtId="169" fontId="18" fillId="2" borderId="42" xfId="0" applyNumberFormat="1" applyFont="1" applyFill="1" applyBorder="1" applyAlignment="1">
      <alignment horizontal="center" vertical="center" wrapText="1"/>
    </xf>
    <xf numFmtId="0" fontId="18" fillId="0" borderId="58" xfId="0" applyFont="1" applyBorder="1" applyAlignment="1">
      <alignment horizontal="center" vertical="center"/>
    </xf>
    <xf numFmtId="43" fontId="18" fillId="7" borderId="42" xfId="1" applyFont="1" applyFill="1" applyBorder="1" applyAlignment="1">
      <alignment vertical="center" wrapText="1"/>
    </xf>
    <xf numFmtId="43" fontId="18" fillId="2" borderId="42" xfId="0" applyNumberFormat="1" applyFont="1" applyFill="1" applyBorder="1" applyAlignment="1">
      <alignment horizontal="center" vertical="center"/>
    </xf>
    <xf numFmtId="0" fontId="18" fillId="0" borderId="55" xfId="0" applyFont="1" applyBorder="1" applyAlignment="1">
      <alignment horizontal="center" vertical="center"/>
    </xf>
    <xf numFmtId="43" fontId="18" fillId="2" borderId="8" xfId="0" applyNumberFormat="1" applyFont="1" applyFill="1" applyBorder="1" applyAlignment="1">
      <alignment vertical="center"/>
    </xf>
    <xf numFmtId="43" fontId="18" fillId="2" borderId="24" xfId="0" applyNumberFormat="1" applyFont="1" applyFill="1" applyBorder="1" applyAlignment="1">
      <alignment vertical="center"/>
    </xf>
    <xf numFmtId="43" fontId="18" fillId="2" borderId="42" xfId="0" applyNumberFormat="1" applyFont="1" applyFill="1" applyBorder="1" applyAlignment="1">
      <alignment vertical="center"/>
    </xf>
    <xf numFmtId="43" fontId="18" fillId="3" borderId="24" xfId="0" applyNumberFormat="1" applyFont="1" applyFill="1" applyBorder="1" applyAlignment="1">
      <alignment vertical="center"/>
    </xf>
    <xf numFmtId="0" fontId="36" fillId="0" borderId="61" xfId="0" applyFont="1" applyBorder="1"/>
    <xf numFmtId="0" fontId="3" fillId="0" borderId="1" xfId="0" applyFont="1" applyBorder="1"/>
    <xf numFmtId="43" fontId="21" fillId="0" borderId="65" xfId="0" applyNumberFormat="1" applyFont="1" applyBorder="1" applyAlignment="1">
      <alignment vertical="center"/>
    </xf>
    <xf numFmtId="0" fontId="18" fillId="0" borderId="60" xfId="0" applyFont="1" applyBorder="1" applyAlignment="1">
      <alignment horizontal="center" vertical="center" wrapText="1"/>
    </xf>
    <xf numFmtId="0" fontId="36" fillId="0" borderId="39" xfId="0" applyFont="1" applyBorder="1"/>
    <xf numFmtId="0" fontId="19" fillId="0" borderId="69" xfId="0" applyFont="1" applyBorder="1" applyAlignment="1">
      <alignment horizontal="left" vertical="center" wrapText="1"/>
    </xf>
    <xf numFmtId="165" fontId="19" fillId="2" borderId="70" xfId="0" applyNumberFormat="1" applyFont="1" applyFill="1" applyBorder="1" applyAlignment="1">
      <alignment horizontal="center" vertical="center"/>
    </xf>
    <xf numFmtId="169" fontId="19" fillId="2" borderId="53" xfId="0" applyNumberFormat="1" applyFont="1" applyFill="1" applyBorder="1" applyAlignment="1">
      <alignment horizontal="center" vertical="center" wrapText="1"/>
    </xf>
    <xf numFmtId="164" fontId="19" fillId="2" borderId="69" xfId="1" applyNumberFormat="1" applyFont="1" applyFill="1" applyBorder="1" applyAlignment="1">
      <alignment horizontal="left" vertical="center" wrapText="1"/>
    </xf>
    <xf numFmtId="49" fontId="19" fillId="2" borderId="70" xfId="0" applyNumberFormat="1" applyFont="1" applyFill="1" applyBorder="1" applyAlignment="1">
      <alignment horizontal="center" vertical="center" wrapText="1"/>
    </xf>
    <xf numFmtId="43" fontId="19" fillId="7" borderId="53" xfId="1" applyFont="1" applyFill="1" applyBorder="1" applyAlignment="1">
      <alignment horizontal="center" vertical="center" wrapText="1"/>
    </xf>
    <xf numFmtId="43" fontId="19" fillId="2" borderId="53" xfId="0" applyNumberFormat="1" applyFont="1" applyFill="1" applyBorder="1" applyAlignment="1">
      <alignment horizontal="center" vertical="center"/>
    </xf>
    <xf numFmtId="43" fontId="19" fillId="7" borderId="69" xfId="1" applyFont="1" applyFill="1" applyBorder="1" applyAlignment="1">
      <alignment vertical="center" wrapText="1"/>
    </xf>
    <xf numFmtId="0" fontId="19" fillId="0" borderId="69" xfId="0" applyFont="1" applyBorder="1" applyAlignment="1">
      <alignment horizontal="center" vertical="center"/>
    </xf>
    <xf numFmtId="164" fontId="19" fillId="2" borderId="40" xfId="1" applyNumberFormat="1" applyFont="1" applyFill="1" applyBorder="1" applyAlignment="1">
      <alignment horizontal="left" vertical="center" wrapText="1"/>
    </xf>
    <xf numFmtId="49" fontId="19" fillId="2" borderId="61" xfId="0" applyNumberFormat="1" applyFont="1" applyFill="1" applyBorder="1" applyAlignment="1">
      <alignment horizontal="center" vertical="center" wrapText="1"/>
    </xf>
    <xf numFmtId="43" fontId="19" fillId="7" borderId="40" xfId="1" applyFont="1" applyFill="1" applyBorder="1" applyAlignment="1">
      <alignment horizontal="center" vertical="center" wrapText="1"/>
    </xf>
    <xf numFmtId="43" fontId="19" fillId="2" borderId="45" xfId="0" applyNumberFormat="1" applyFont="1" applyFill="1" applyBorder="1" applyAlignment="1">
      <alignment horizontal="center" vertical="center"/>
    </xf>
    <xf numFmtId="0" fontId="19" fillId="0" borderId="66" xfId="0" applyFont="1" applyBorder="1" applyAlignment="1">
      <alignment horizontal="left" vertical="center" wrapText="1"/>
    </xf>
    <xf numFmtId="165" fontId="19" fillId="2" borderId="62" xfId="0" applyNumberFormat="1" applyFont="1" applyFill="1" applyBorder="1" applyAlignment="1">
      <alignment horizontal="center" vertical="center"/>
    </xf>
    <xf numFmtId="169" fontId="19" fillId="2" borderId="67" xfId="0" applyNumberFormat="1" applyFont="1" applyFill="1" applyBorder="1" applyAlignment="1">
      <alignment horizontal="center" vertical="center" wrapText="1"/>
    </xf>
    <xf numFmtId="164" fontId="19" fillId="2" borderId="66" xfId="1" applyNumberFormat="1" applyFont="1" applyFill="1" applyBorder="1" applyAlignment="1">
      <alignment horizontal="left" vertical="center" wrapText="1"/>
    </xf>
    <xf numFmtId="49" fontId="19" fillId="2" borderId="67" xfId="0" applyNumberFormat="1" applyFont="1" applyFill="1" applyBorder="1" applyAlignment="1">
      <alignment horizontal="center" vertical="center" wrapText="1"/>
    </xf>
    <xf numFmtId="49" fontId="19" fillId="2" borderId="62" xfId="0" applyNumberFormat="1" applyFont="1" applyFill="1" applyBorder="1" applyAlignment="1">
      <alignment horizontal="center" vertical="center" wrapText="1"/>
    </xf>
    <xf numFmtId="43" fontId="19" fillId="7" borderId="67" xfId="1" applyFont="1" applyFill="1" applyBorder="1" applyAlignment="1">
      <alignment horizontal="center" vertical="center" wrapText="1"/>
    </xf>
    <xf numFmtId="43" fontId="19" fillId="0" borderId="67" xfId="0" applyNumberFormat="1" applyFont="1" applyBorder="1" applyAlignment="1">
      <alignment vertical="center"/>
    </xf>
    <xf numFmtId="43" fontId="19" fillId="0" borderId="67" xfId="0" applyNumberFormat="1" applyFont="1" applyBorder="1" applyAlignment="1">
      <alignment horizontal="center" vertical="center"/>
    </xf>
    <xf numFmtId="43" fontId="19" fillId="7" borderId="66" xfId="1" applyFont="1" applyFill="1" applyBorder="1" applyAlignment="1">
      <alignment vertical="center" wrapText="1"/>
    </xf>
    <xf numFmtId="0" fontId="19" fillId="0" borderId="66" xfId="0" applyFont="1" applyBorder="1" applyAlignment="1">
      <alignment horizontal="center" vertical="center"/>
    </xf>
    <xf numFmtId="0" fontId="19" fillId="0" borderId="68" xfId="0" applyFont="1" applyBorder="1" applyAlignment="1">
      <alignment horizontal="center" vertical="center"/>
    </xf>
    <xf numFmtId="43" fontId="19" fillId="2" borderId="67" xfId="0" applyNumberFormat="1" applyFont="1" applyFill="1" applyBorder="1" applyAlignment="1">
      <alignment horizontal="center" vertical="center"/>
    </xf>
    <xf numFmtId="0" fontId="19" fillId="0" borderId="25" xfId="0" applyFont="1" applyBorder="1" applyAlignment="1">
      <alignment horizontal="left" vertical="center" wrapText="1"/>
    </xf>
    <xf numFmtId="164" fontId="19" fillId="2" borderId="25" xfId="1" applyNumberFormat="1" applyFont="1" applyFill="1" applyBorder="1" applyAlignment="1">
      <alignment horizontal="left" vertical="center" wrapText="1"/>
    </xf>
    <xf numFmtId="0" fontId="19" fillId="0" borderId="25" xfId="0" applyFont="1" applyBorder="1" applyAlignment="1">
      <alignment horizontal="center" vertical="center"/>
    </xf>
    <xf numFmtId="0" fontId="19" fillId="0" borderId="63" xfId="0" applyFont="1" applyBorder="1" applyAlignment="1">
      <alignment horizontal="center" vertical="center"/>
    </xf>
    <xf numFmtId="0" fontId="19" fillId="0" borderId="43" xfId="0" applyFont="1" applyBorder="1" applyAlignment="1">
      <alignment horizontal="left" vertical="center" wrapText="1"/>
    </xf>
    <xf numFmtId="165" fontId="19" fillId="2" borderId="64" xfId="0" applyNumberFormat="1" applyFont="1" applyFill="1" applyBorder="1" applyAlignment="1">
      <alignment horizontal="center" vertical="center"/>
    </xf>
    <xf numFmtId="164" fontId="19" fillId="2" borderId="43" xfId="1" applyNumberFormat="1" applyFont="1" applyFill="1" applyBorder="1" applyAlignment="1">
      <alignment horizontal="left" vertical="center" wrapText="1"/>
    </xf>
    <xf numFmtId="49" fontId="19" fillId="2" borderId="64" xfId="0" applyNumberFormat="1" applyFont="1" applyFill="1" applyBorder="1" applyAlignment="1">
      <alignment horizontal="center" vertical="center" wrapText="1"/>
    </xf>
    <xf numFmtId="43" fontId="19" fillId="7" borderId="43" xfId="1" applyFont="1" applyFill="1" applyBorder="1" applyAlignment="1">
      <alignment vertical="center" wrapText="1"/>
    </xf>
    <xf numFmtId="0" fontId="19" fillId="0" borderId="43" xfId="0" applyFont="1" applyBorder="1" applyAlignment="1">
      <alignment horizontal="center" vertical="center"/>
    </xf>
    <xf numFmtId="43" fontId="19" fillId="7" borderId="8" xfId="1" applyFont="1" applyFill="1" applyBorder="1" applyAlignment="1">
      <alignment horizontal="center" vertical="center" wrapText="1"/>
    </xf>
    <xf numFmtId="43" fontId="19" fillId="2" borderId="8" xfId="0" applyNumberFormat="1" applyFont="1" applyFill="1" applyBorder="1" applyAlignment="1">
      <alignment horizontal="center" vertical="center"/>
    </xf>
    <xf numFmtId="165" fontId="19" fillId="2" borderId="39" xfId="0" applyNumberFormat="1" applyFont="1" applyFill="1" applyBorder="1" applyAlignment="1">
      <alignment horizontal="center" vertical="center"/>
    </xf>
    <xf numFmtId="43" fontId="19" fillId="7" borderId="25" xfId="1" applyFont="1" applyFill="1" applyBorder="1" applyAlignment="1">
      <alignment vertical="center" wrapText="1"/>
    </xf>
    <xf numFmtId="43" fontId="36" fillId="0" borderId="61" xfId="0" applyNumberFormat="1" applyFont="1" applyBorder="1"/>
    <xf numFmtId="43" fontId="19" fillId="2" borderId="23" xfId="0" applyNumberFormat="1" applyFont="1" applyFill="1" applyBorder="1" applyAlignment="1">
      <alignment horizontal="center" vertical="center"/>
    </xf>
    <xf numFmtId="43" fontId="36" fillId="0" borderId="39" xfId="0" applyNumberFormat="1" applyFont="1" applyBorder="1"/>
    <xf numFmtId="164" fontId="0" fillId="0" borderId="0" xfId="0" applyNumberFormat="1"/>
    <xf numFmtId="0" fontId="0" fillId="0" borderId="0" xfId="0" applyAlignment="1">
      <alignment horizontal="right"/>
    </xf>
    <xf numFmtId="0" fontId="22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7" fillId="0" borderId="2" xfId="2" applyFont="1" applyBorder="1" applyAlignment="1">
      <alignment horizontal="center" vertical="center" wrapText="1"/>
    </xf>
    <xf numFmtId="0" fontId="7" fillId="0" borderId="3" xfId="2" applyFont="1" applyBorder="1" applyAlignment="1">
      <alignment horizontal="center" vertical="center" wrapText="1"/>
    </xf>
    <xf numFmtId="0" fontId="7" fillId="0" borderId="7" xfId="2" applyFont="1" applyBorder="1" applyAlignment="1">
      <alignment horizontal="center" vertical="center" wrapText="1"/>
    </xf>
    <xf numFmtId="0" fontId="7" fillId="0" borderId="8" xfId="2" applyFont="1" applyBorder="1" applyAlignment="1">
      <alignment horizontal="center" vertical="center" wrapText="1"/>
    </xf>
    <xf numFmtId="0" fontId="7" fillId="0" borderId="14" xfId="2" applyFont="1" applyBorder="1" applyAlignment="1">
      <alignment horizontal="center" vertical="center" wrapText="1"/>
    </xf>
    <xf numFmtId="0" fontId="7" fillId="0" borderId="10" xfId="2" applyFont="1" applyBorder="1" applyAlignment="1">
      <alignment horizontal="center" vertical="center" wrapText="1"/>
    </xf>
    <xf numFmtId="0" fontId="7" fillId="0" borderId="4" xfId="2" applyFont="1" applyBorder="1" applyAlignment="1">
      <alignment horizontal="center" vertical="center" wrapText="1"/>
    </xf>
    <xf numFmtId="0" fontId="7" fillId="0" borderId="5" xfId="2" applyFont="1" applyBorder="1" applyAlignment="1">
      <alignment horizontal="center" vertical="center" wrapText="1"/>
    </xf>
    <xf numFmtId="0" fontId="7" fillId="0" borderId="6" xfId="2" applyFont="1" applyBorder="1" applyAlignment="1">
      <alignment horizontal="center" vertical="center" wrapText="1"/>
    </xf>
    <xf numFmtId="0" fontId="13" fillId="3" borderId="12" xfId="0" applyFont="1" applyFill="1" applyBorder="1" applyAlignment="1">
      <alignment horizontal="center" vertical="center"/>
    </xf>
    <xf numFmtId="0" fontId="13" fillId="3" borderId="13" xfId="0" applyFont="1" applyFill="1" applyBorder="1" applyAlignment="1">
      <alignment horizontal="center" vertical="center"/>
    </xf>
    <xf numFmtId="0" fontId="13" fillId="3" borderId="15" xfId="0" applyFont="1" applyFill="1" applyBorder="1" applyAlignment="1">
      <alignment horizontal="center" vertical="center"/>
    </xf>
    <xf numFmtId="0" fontId="13" fillId="3" borderId="17" xfId="0" applyFont="1" applyFill="1" applyBorder="1" applyAlignment="1">
      <alignment horizontal="center" vertical="center"/>
    </xf>
    <xf numFmtId="0" fontId="1" fillId="0" borderId="0" xfId="0" applyFont="1" applyAlignment="1">
      <alignment horizontal="right"/>
    </xf>
    <xf numFmtId="0" fontId="0" fillId="0" borderId="36" xfId="0" applyBorder="1" applyAlignment="1">
      <alignment horizontal="right"/>
    </xf>
    <xf numFmtId="0" fontId="26" fillId="0" borderId="0" xfId="0" applyFont="1" applyAlignment="1">
      <alignment horizontal="left"/>
    </xf>
    <xf numFmtId="0" fontId="30" fillId="3" borderId="12" xfId="0" applyFont="1" applyFill="1" applyBorder="1" applyAlignment="1">
      <alignment horizontal="center" vertical="center"/>
    </xf>
    <xf numFmtId="0" fontId="30" fillId="3" borderId="13" xfId="0" applyFont="1" applyFill="1" applyBorder="1" applyAlignment="1">
      <alignment horizontal="center" vertical="center"/>
    </xf>
    <xf numFmtId="0" fontId="30" fillId="3" borderId="15" xfId="0" applyFont="1" applyFill="1" applyBorder="1" applyAlignment="1">
      <alignment horizontal="center" vertical="center"/>
    </xf>
    <xf numFmtId="0" fontId="30" fillId="3" borderId="17" xfId="0" applyFont="1" applyFill="1" applyBorder="1" applyAlignment="1">
      <alignment horizontal="center" vertical="center"/>
    </xf>
  </cellXfs>
  <cellStyles count="3">
    <cellStyle name="Comma" xfId="1" builtinId="3"/>
    <cellStyle name="Normal" xfId="0" builtinId="0"/>
    <cellStyle name="Normal 7" xfId="2" xr:uid="{00000000-0005-0000-0000-000031000000}"/>
  </cellStyles>
  <dxfs count="34">
    <dxf>
      <font>
        <b/>
        <i val="0"/>
        <strike val="0"/>
        <u val="none"/>
        <sz val="10"/>
        <color auto="1"/>
        <name val="Verdana"/>
        <scheme val="none"/>
      </font>
      <fill>
        <patternFill patternType="solid">
          <bgColor theme="0"/>
        </patternFill>
      </fill>
      <alignment horizontal="center" vertical="center"/>
      <border>
        <left style="thin">
          <color auto="1"/>
        </left>
        <right/>
      </border>
    </dxf>
    <dxf>
      <font>
        <b val="0"/>
        <i val="0"/>
        <strike val="0"/>
        <u val="none"/>
        <sz val="10"/>
        <color auto="1"/>
        <name val="Verdana"/>
        <scheme val="none"/>
      </font>
      <numFmt numFmtId="35" formatCode="_-* #,##0.00_-;\-* #,##0.00_-;_-* &quot;-&quot;??_-;_-@_-"/>
      <fill>
        <patternFill patternType="solid">
          <bgColor theme="0"/>
        </patternFill>
      </fill>
      <alignment horizontal="center" vertical="center" wrapText="1"/>
      <border>
        <left style="thin">
          <color auto="1"/>
        </left>
        <right style="thin">
          <color auto="1"/>
        </right>
      </border>
    </dxf>
    <dxf>
      <font>
        <b val="0"/>
        <i val="0"/>
        <strike val="0"/>
        <u val="none"/>
        <sz val="10"/>
        <color auto="1"/>
        <name val="Verdana"/>
        <scheme val="none"/>
      </font>
      <numFmt numFmtId="35" formatCode="_-* #,##0.00_-;\-* #,##0.00_-;_-* &quot;-&quot;??_-;_-@_-"/>
      <fill>
        <patternFill patternType="solid">
          <bgColor theme="7" tint="0.79985961485641044"/>
        </patternFill>
      </fill>
      <alignment horizontal="center" vertical="center" wrapText="1"/>
      <border>
        <left style="thin">
          <color auto="1"/>
        </left>
        <right style="thin">
          <color auto="1"/>
        </right>
      </border>
    </dxf>
    <dxf>
      <font>
        <b val="0"/>
        <i val="0"/>
        <strike val="0"/>
        <u val="none"/>
        <sz val="10"/>
        <color auto="1"/>
        <name val="Verdana"/>
        <scheme val="none"/>
      </font>
      <fill>
        <patternFill patternType="solid">
          <bgColor theme="0"/>
        </patternFill>
      </fill>
      <alignment vertical="center"/>
      <border>
        <left style="thin">
          <color auto="1"/>
        </left>
        <right style="thin">
          <color auto="1"/>
        </right>
      </border>
    </dxf>
    <dxf>
      <font>
        <b val="0"/>
        <i val="0"/>
        <strike val="0"/>
        <u val="none"/>
        <sz val="10"/>
        <color auto="1"/>
        <name val="Verdana"/>
        <family val="2"/>
        <scheme val="none"/>
      </font>
      <fill>
        <patternFill patternType="solid">
          <bgColor theme="0"/>
        </patternFill>
      </fill>
      <alignment horizontal="center" vertical="center"/>
      <border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u val="none"/>
        <sz val="10"/>
        <color auto="1"/>
        <name val="Verdana"/>
        <family val="2"/>
        <scheme val="none"/>
      </font>
      <fill>
        <patternFill patternType="solid">
          <bgColor theme="0"/>
        </patternFill>
      </fill>
      <alignment horizontal="center" vertical="center"/>
      <border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u val="none"/>
        <sz val="10"/>
        <color auto="1"/>
        <name val="Verdana"/>
        <scheme val="none"/>
      </font>
      <fill>
        <patternFill patternType="solid">
          <bgColor theme="0"/>
        </patternFill>
      </fill>
      <alignment horizontal="center" vertical="center"/>
      <border>
        <left style="thin">
          <color auto="1"/>
        </left>
        <right style="thin">
          <color auto="1"/>
        </right>
      </border>
    </dxf>
    <dxf>
      <font>
        <b val="0"/>
        <i val="0"/>
        <strike val="0"/>
        <u val="none"/>
        <sz val="10"/>
        <color auto="1"/>
        <name val="Verdana"/>
        <scheme val="none"/>
      </font>
      <fill>
        <patternFill patternType="solid">
          <bgColor theme="0"/>
        </patternFill>
      </fill>
      <alignment horizontal="center" vertical="center"/>
      <border>
        <left style="thin">
          <color auto="1"/>
        </left>
        <right style="thin">
          <color auto="1"/>
        </right>
      </border>
    </dxf>
    <dxf>
      <font>
        <b val="0"/>
        <i val="0"/>
        <strike val="0"/>
        <u val="none"/>
        <sz val="10"/>
        <color auto="1"/>
        <name val="Verdana"/>
        <scheme val="none"/>
      </font>
      <fill>
        <patternFill patternType="solid">
          <bgColor theme="0"/>
        </patternFill>
      </fill>
      <alignment horizontal="center" vertical="center"/>
      <border>
        <left style="thin">
          <color auto="1"/>
        </left>
        <right style="thin">
          <color auto="1"/>
        </right>
      </border>
    </dxf>
    <dxf>
      <font>
        <b val="0"/>
        <i val="0"/>
        <strike val="0"/>
        <u val="none"/>
        <sz val="10"/>
        <color auto="1"/>
        <name val="Verdana"/>
        <scheme val="none"/>
      </font>
      <numFmt numFmtId="35" formatCode="_-* #,##0.00_-;\-* #,##0.00_-;_-* &quot;-&quot;??_-;_-@_-"/>
      <fill>
        <patternFill patternType="solid">
          <bgColor theme="7" tint="0.79985961485641044"/>
        </patternFill>
      </fill>
      <alignment horizontal="center" vertical="center" wrapText="1"/>
      <border>
        <left style="thin">
          <color auto="1"/>
        </left>
        <right style="thin">
          <color auto="1"/>
        </right>
      </border>
    </dxf>
    <dxf>
      <font>
        <b val="0"/>
        <i val="0"/>
        <strike val="0"/>
        <u val="none"/>
        <sz val="10"/>
        <color auto="1"/>
        <name val="Verdana"/>
        <scheme val="none"/>
      </font>
      <numFmt numFmtId="30" formatCode="@"/>
      <fill>
        <patternFill patternType="solid">
          <bgColor theme="0"/>
        </patternFill>
      </fill>
      <alignment horizontal="center" vertical="center" wrapText="1"/>
      <border>
        <left style="thin">
          <color auto="1"/>
        </left>
        <right style="thin">
          <color auto="1"/>
        </right>
      </border>
    </dxf>
    <dxf>
      <font>
        <b val="0"/>
        <i val="0"/>
        <strike val="0"/>
        <u val="none"/>
        <sz val="10"/>
        <color auto="1"/>
        <name val="Verdana"/>
        <scheme val="none"/>
      </font>
      <fill>
        <patternFill patternType="solid">
          <bgColor theme="0"/>
        </patternFill>
      </fill>
      <alignment horizontal="center" vertical="center"/>
      <border>
        <left style="thin">
          <color auto="1"/>
        </left>
        <right style="thin">
          <color auto="1"/>
        </right>
      </border>
    </dxf>
    <dxf>
      <font>
        <b val="0"/>
        <i val="0"/>
        <strike val="0"/>
        <u val="none"/>
        <sz val="10"/>
        <color auto="1"/>
        <name val="Verdana"/>
        <scheme val="none"/>
      </font>
      <fill>
        <patternFill patternType="solid">
          <bgColor theme="0"/>
        </patternFill>
      </fill>
      <alignment horizontal="center" vertical="center"/>
      <border>
        <left style="thin">
          <color auto="1"/>
        </left>
        <right style="thin">
          <color auto="1"/>
        </right>
      </border>
    </dxf>
    <dxf>
      <font>
        <b val="0"/>
        <i val="0"/>
        <strike val="0"/>
        <u val="none"/>
        <sz val="10"/>
        <color auto="1"/>
        <name val="Verdana"/>
        <scheme val="none"/>
      </font>
      <numFmt numFmtId="168" formatCode="mm/dd/yy"/>
      <fill>
        <patternFill patternType="solid">
          <bgColor theme="0"/>
        </patternFill>
      </fill>
      <alignment horizontal="center" vertical="center" wrapText="1"/>
      <border>
        <left style="thin">
          <color auto="1"/>
        </left>
        <right style="thin">
          <color auto="1"/>
        </right>
      </border>
    </dxf>
    <dxf>
      <font>
        <b val="0"/>
        <i val="0"/>
        <strike val="0"/>
        <u val="none"/>
        <sz val="10"/>
        <color auto="1"/>
        <name val="Verdana"/>
        <scheme val="none"/>
      </font>
      <numFmt numFmtId="170" formatCode="mm/dd/yyyy"/>
      <fill>
        <patternFill patternType="solid">
          <bgColor theme="0"/>
        </patternFill>
      </fill>
      <alignment horizontal="center" vertical="center"/>
      <border>
        <left style="thin">
          <color auto="1"/>
        </left>
        <right style="thin">
          <color auto="1"/>
        </right>
      </border>
    </dxf>
    <dxf>
      <font>
        <b val="0"/>
        <i val="0"/>
        <strike val="0"/>
        <u val="none"/>
        <sz val="10"/>
        <color auto="1"/>
        <name val="Verdana"/>
        <scheme val="none"/>
      </font>
      <fill>
        <patternFill patternType="solid">
          <bgColor theme="0"/>
        </patternFill>
      </fill>
      <alignment vertical="center" wrapText="1"/>
      <border>
        <left style="thin">
          <color auto="1"/>
        </left>
        <right style="thin">
          <color auto="1"/>
        </right>
      </border>
    </dxf>
    <dxf>
      <font>
        <b val="0"/>
        <i val="0"/>
        <strike val="0"/>
        <u val="none"/>
        <sz val="10"/>
        <color auto="1"/>
        <name val="Verdana"/>
        <scheme val="none"/>
      </font>
      <fill>
        <patternFill patternType="solid">
          <bgColor theme="0"/>
        </patternFill>
      </fill>
      <alignment horizontal="center" vertical="center" wrapText="1"/>
      <border>
        <left/>
        <right style="thin">
          <color auto="1"/>
        </right>
      </border>
    </dxf>
    <dxf>
      <font>
        <b/>
        <i val="0"/>
        <strike val="0"/>
        <u val="none"/>
        <sz val="10"/>
        <color auto="1"/>
        <name val="Verdana"/>
        <scheme val="none"/>
      </font>
      <fill>
        <patternFill patternType="solid">
          <bgColor theme="0"/>
        </patternFill>
      </fill>
      <alignment horizontal="center" vertical="center"/>
      <border>
        <left style="thin">
          <color auto="1"/>
        </left>
        <right/>
      </border>
    </dxf>
    <dxf>
      <font>
        <b val="0"/>
        <i val="0"/>
        <strike val="0"/>
        <u val="none"/>
        <sz val="10"/>
        <color auto="1"/>
        <name val="Verdana"/>
        <scheme val="none"/>
      </font>
      <numFmt numFmtId="35" formatCode="_-* #,##0.00_-;\-* #,##0.00_-;_-* &quot;-&quot;??_-;_-@_-"/>
      <fill>
        <patternFill patternType="solid">
          <bgColor theme="0"/>
        </patternFill>
      </fill>
      <alignment horizontal="center" vertical="center" wrapText="1"/>
      <border>
        <left style="thin">
          <color auto="1"/>
        </left>
        <right style="thin">
          <color auto="1"/>
        </right>
      </border>
    </dxf>
    <dxf>
      <font>
        <b val="0"/>
        <i val="0"/>
        <strike val="0"/>
        <u val="none"/>
        <sz val="10"/>
        <color auto="1"/>
        <name val="Verdana"/>
        <scheme val="none"/>
      </font>
      <numFmt numFmtId="35" formatCode="_-* #,##0.00_-;\-* #,##0.00_-;_-* &quot;-&quot;??_-;_-@_-"/>
      <fill>
        <patternFill patternType="solid">
          <bgColor theme="7" tint="0.79985961485641044"/>
        </patternFill>
      </fill>
      <alignment horizontal="center" vertical="center" wrapText="1"/>
      <border>
        <left style="thin">
          <color auto="1"/>
        </left>
        <right style="thin">
          <color auto="1"/>
        </right>
      </border>
    </dxf>
    <dxf>
      <font>
        <b val="0"/>
        <i val="0"/>
        <strike val="0"/>
        <u val="none"/>
        <sz val="10"/>
        <color auto="1"/>
        <name val="Verdana"/>
        <scheme val="none"/>
      </font>
      <fill>
        <patternFill patternType="solid">
          <bgColor theme="0"/>
        </patternFill>
      </fill>
      <alignment vertical="center"/>
      <border>
        <left style="thin">
          <color auto="1"/>
        </left>
        <right style="thin">
          <color auto="1"/>
        </right>
      </border>
    </dxf>
    <dxf>
      <font>
        <b val="0"/>
        <i val="0"/>
        <strike val="0"/>
        <u val="none"/>
        <sz val="10"/>
        <color auto="1"/>
        <name val="Verdana"/>
        <family val="2"/>
        <scheme val="none"/>
      </font>
      <fill>
        <patternFill patternType="solid">
          <bgColor theme="0"/>
        </patternFill>
      </fill>
      <alignment horizontal="center" vertical="center"/>
      <border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u val="none"/>
        <sz val="10"/>
        <color auto="1"/>
        <name val="Verdana"/>
        <family val="2"/>
        <scheme val="none"/>
      </font>
      <fill>
        <patternFill patternType="solid">
          <bgColor theme="0"/>
        </patternFill>
      </fill>
      <alignment horizontal="center" vertical="center"/>
      <border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u val="none"/>
        <sz val="10"/>
        <color auto="1"/>
        <name val="Verdana"/>
        <scheme val="none"/>
      </font>
      <fill>
        <patternFill patternType="solid">
          <bgColor theme="0"/>
        </patternFill>
      </fill>
      <alignment horizontal="center" vertical="center"/>
      <border>
        <left style="thin">
          <color auto="1"/>
        </left>
        <right style="thin">
          <color auto="1"/>
        </right>
      </border>
    </dxf>
    <dxf>
      <font>
        <b val="0"/>
        <i val="0"/>
        <strike val="0"/>
        <u val="none"/>
        <sz val="10"/>
        <color auto="1"/>
        <name val="Verdana"/>
        <scheme val="none"/>
      </font>
      <fill>
        <patternFill patternType="solid">
          <bgColor theme="0"/>
        </patternFill>
      </fill>
      <alignment horizontal="center" vertical="center"/>
      <border>
        <left style="thin">
          <color auto="1"/>
        </left>
        <right style="thin">
          <color auto="1"/>
        </right>
      </border>
    </dxf>
    <dxf>
      <font>
        <b val="0"/>
        <i val="0"/>
        <strike val="0"/>
        <u val="none"/>
        <sz val="10"/>
        <color auto="1"/>
        <name val="Verdana"/>
        <scheme val="none"/>
      </font>
      <fill>
        <patternFill patternType="solid">
          <bgColor theme="0"/>
        </patternFill>
      </fill>
      <alignment horizontal="center" vertical="center"/>
      <border>
        <left style="thin">
          <color auto="1"/>
        </left>
        <right style="thin">
          <color auto="1"/>
        </right>
      </border>
    </dxf>
    <dxf>
      <font>
        <b val="0"/>
        <i val="0"/>
        <strike val="0"/>
        <u val="none"/>
        <sz val="10"/>
        <color auto="1"/>
        <name val="Verdana"/>
        <scheme val="none"/>
      </font>
      <numFmt numFmtId="35" formatCode="_-* #,##0.00_-;\-* #,##0.00_-;_-* &quot;-&quot;??_-;_-@_-"/>
      <fill>
        <patternFill patternType="solid">
          <bgColor theme="7" tint="0.79985961485641044"/>
        </patternFill>
      </fill>
      <alignment horizontal="center" vertical="center" wrapText="1"/>
      <border>
        <left style="thin">
          <color auto="1"/>
        </left>
        <right style="thin">
          <color auto="1"/>
        </right>
      </border>
    </dxf>
    <dxf>
      <font>
        <b val="0"/>
        <i val="0"/>
        <strike val="0"/>
        <u val="none"/>
        <sz val="10"/>
        <color auto="1"/>
        <name val="Verdana"/>
        <scheme val="none"/>
      </font>
      <numFmt numFmtId="30" formatCode="@"/>
      <fill>
        <patternFill patternType="solid">
          <bgColor theme="0"/>
        </patternFill>
      </fill>
      <alignment horizontal="center" vertical="center" wrapText="1"/>
      <border>
        <left style="thin">
          <color auto="1"/>
        </left>
        <right style="thin">
          <color auto="1"/>
        </right>
      </border>
    </dxf>
    <dxf>
      <font>
        <b val="0"/>
        <i val="0"/>
        <strike val="0"/>
        <u val="none"/>
        <sz val="10"/>
        <color auto="1"/>
        <name val="Verdana"/>
        <scheme val="none"/>
      </font>
      <fill>
        <patternFill patternType="solid">
          <bgColor theme="0"/>
        </patternFill>
      </fill>
      <alignment horizontal="center" vertical="center"/>
      <border>
        <left style="thin">
          <color auto="1"/>
        </left>
        <right style="thin">
          <color auto="1"/>
        </right>
      </border>
    </dxf>
    <dxf>
      <font>
        <b val="0"/>
        <i val="0"/>
        <strike val="0"/>
        <u val="none"/>
        <sz val="10"/>
        <color auto="1"/>
        <name val="Verdana"/>
        <scheme val="none"/>
      </font>
      <fill>
        <patternFill patternType="solid">
          <bgColor theme="0"/>
        </patternFill>
      </fill>
      <alignment horizontal="center" vertical="center"/>
      <border>
        <left style="thin">
          <color auto="1"/>
        </left>
        <right style="thin">
          <color auto="1"/>
        </right>
      </border>
    </dxf>
    <dxf>
      <font>
        <b val="0"/>
        <i val="0"/>
        <strike val="0"/>
        <u val="none"/>
        <sz val="10"/>
        <color auto="1"/>
        <name val="Verdana"/>
        <scheme val="none"/>
      </font>
      <numFmt numFmtId="168" formatCode="mm/dd/yy"/>
      <fill>
        <patternFill patternType="solid">
          <bgColor theme="0"/>
        </patternFill>
      </fill>
      <alignment horizontal="center" vertical="center" wrapText="1"/>
      <border>
        <left style="thin">
          <color auto="1"/>
        </left>
        <right style="thin">
          <color auto="1"/>
        </right>
      </border>
    </dxf>
    <dxf>
      <font>
        <b val="0"/>
        <i val="0"/>
        <strike val="0"/>
        <u val="none"/>
        <sz val="10"/>
        <color auto="1"/>
        <name val="Verdana"/>
        <scheme val="none"/>
      </font>
      <numFmt numFmtId="170" formatCode="mm/dd/yyyy"/>
      <fill>
        <patternFill patternType="solid">
          <bgColor theme="0"/>
        </patternFill>
      </fill>
      <alignment horizontal="center" vertical="center"/>
      <border>
        <left style="thin">
          <color auto="1"/>
        </left>
        <right style="thin">
          <color auto="1"/>
        </right>
      </border>
    </dxf>
    <dxf>
      <font>
        <b val="0"/>
        <i val="0"/>
        <strike val="0"/>
        <u val="none"/>
        <sz val="10"/>
        <color auto="1"/>
        <name val="Verdana"/>
        <scheme val="none"/>
      </font>
      <fill>
        <patternFill patternType="solid">
          <bgColor theme="0"/>
        </patternFill>
      </fill>
      <alignment vertical="center" wrapText="1"/>
      <border>
        <left style="thin">
          <color auto="1"/>
        </left>
        <right style="thin">
          <color auto="1"/>
        </right>
      </border>
    </dxf>
    <dxf>
      <font>
        <b val="0"/>
        <i val="0"/>
        <strike val="0"/>
        <u val="none"/>
        <sz val="10"/>
        <color auto="1"/>
        <name val="Verdana"/>
        <scheme val="none"/>
      </font>
      <fill>
        <patternFill patternType="solid">
          <bgColor theme="0"/>
        </patternFill>
      </fill>
      <alignment horizontal="center" vertical="center" wrapText="1"/>
      <border>
        <left/>
        <right style="thin">
          <color auto="1"/>
        </right>
      </border>
    </dxf>
  </dxfs>
  <tableStyles count="0" defaultTableStyle="TableStyleMedium2" defaultPivotStyle="PivotStyleLight16"/>
  <colors>
    <mruColors>
      <color rgb="FFFFFFCC"/>
      <color rgb="FF99FFCC"/>
      <color rgb="FF0000FF"/>
      <color rgb="FFCCFF99"/>
      <color rgb="FFFF6600"/>
      <color rgb="FFFF9999"/>
      <color rgb="FF66FF33"/>
      <color rgb="FF66FF66"/>
      <color rgb="FF00CC66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269620</xdr:colOff>
      <xdr:row>0</xdr:row>
      <xdr:rowOff>0</xdr:rowOff>
    </xdr:from>
    <xdr:to>
      <xdr:col>15</xdr:col>
      <xdr:colOff>1422128</xdr:colOff>
      <xdr:row>0</xdr:row>
      <xdr:rowOff>317046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12908915" y="0"/>
          <a:ext cx="7267575" cy="316865"/>
        </a:xfrm>
        <a:prstGeom prst="rect">
          <a:avLst/>
        </a:prstGeom>
        <a:ln>
          <a:solidFill>
            <a:srgbClr val="FF9999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PH" sz="1600" b="1"/>
            <a:t>FOR REFERENCE USE ONLY. DO NOT SUBMIT TO DENR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269620</xdr:colOff>
      <xdr:row>0</xdr:row>
      <xdr:rowOff>0</xdr:rowOff>
    </xdr:from>
    <xdr:to>
      <xdr:col>15</xdr:col>
      <xdr:colOff>1422128</xdr:colOff>
      <xdr:row>0</xdr:row>
      <xdr:rowOff>317046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B6182032-4A1D-40B3-85B3-91E58B7A10D3}"/>
            </a:ext>
          </a:extLst>
        </xdr:cNvPr>
        <xdr:cNvSpPr/>
      </xdr:nvSpPr>
      <xdr:spPr>
        <a:xfrm>
          <a:off x="12909295" y="0"/>
          <a:ext cx="6391258" cy="317046"/>
        </a:xfrm>
        <a:prstGeom prst="rect">
          <a:avLst/>
        </a:prstGeom>
        <a:ln>
          <a:solidFill>
            <a:srgbClr val="FF9999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PH" sz="1600" b="1"/>
            <a:t>FOR REFERENCE USE ONLY. DO NOT SUBMIT TO DENR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4000000}" name="Table43246714234567891011122345678910432143365749101182345679101213141617151823458910911121314167122345948610111323454" displayName="Table43246714234567891011122345678910432143365749101182345679101213141617151823458910911121314167122345948610111323454" ref="A4:Q5" insertRow="1" totalsRowShown="0">
  <autoFilter ref="A4:Q5" xr:uid="{00000000-0009-0000-0100-000003000000}"/>
  <sortState xmlns:xlrd2="http://schemas.microsoft.com/office/spreadsheetml/2017/richdata2" ref="A5:Q6">
    <sortCondition descending="1" ref="B4:B5"/>
  </sortState>
  <tableColumns count="17">
    <tableColumn id="1" xr3:uid="{00000000-0010-0000-0400-000001000000}" name=" Types of Waste" dataDxfId="16"/>
    <tableColumn id="3" xr3:uid="{00000000-0010-0000-0400-000003000000}" name="Waste Generator" dataDxfId="15"/>
    <tableColumn id="4" xr3:uid="{00000000-0010-0000-0400-000004000000}" name="Date of Transport/ Delivery Date" dataDxfId="14"/>
    <tableColumn id="6" xr3:uid="{00000000-0010-0000-0400-000006000000}" name="Transport Permit No." dataDxfId="13"/>
    <tableColumn id="7" xr3:uid="{00000000-0010-0000-0400-000007000000}" name="Quantity (kgs)" dataDxfId="12"/>
    <tableColumn id="11" xr3:uid="{00000000-0010-0000-0400-00000B000000}" name="Control Number" dataDxfId="11"/>
    <tableColumn id="13" xr3:uid="{00000000-0010-0000-0400-00000D000000}" name="Manifest Number" dataDxfId="10"/>
    <tableColumn id="20" xr3:uid="{00000000-0010-0000-0400-000014000000}" name="Previous Balance" dataDxfId="9">
      <calculatedColumnFormula>+#REF!</calculatedColumnFormula>
    </tableColumn>
    <tableColumn id="5" xr3:uid="{00000000-0010-0000-0400-000005000000}" name="22-Nov-23" dataDxfId="8"/>
    <tableColumn id="10" xr3:uid="{00000000-0010-0000-0400-00000A000000}" name="06-Apr-26" dataDxfId="7"/>
    <tableColumn id="12" xr3:uid="{00000000-0010-0000-0400-00000C000000}" name="7-Apr-26" dataDxfId="6"/>
    <tableColumn id="2" xr3:uid="{00000000-0010-0000-0400-000002000000}" name="7-Apr-27" dataDxfId="5"/>
    <tableColumn id="9" xr3:uid="{00000000-0010-0000-0400-000009000000}" name="28-Apr-26" dataDxfId="4"/>
    <tableColumn id="19" xr3:uid="{00000000-0010-0000-0400-000013000000}" name="Dis-assy" dataDxfId="3"/>
    <tableColumn id="17" xr3:uid="{00000000-0010-0000-0400-000011000000}" name="Balance" dataDxfId="2">
      <calculatedColumnFormula>+Table43246714234567891011122345678910432143365749101182345679101213141617151823458910911121314167122345948610111323454[[#This Row],[Previous Balance]]-#REF!-#REF!-#REF!-Table43246714234567891011122345678910432143365749101182345679101213141617151823458910911121314167122345948610111323454[[#This Row],[Dis-assy]]</calculatedColumnFormula>
    </tableColumn>
    <tableColumn id="16" xr3:uid="{00000000-0010-0000-0400-000010000000}" name="Certificate of Treatment" dataDxfId="1"/>
    <tableColumn id="18" xr3:uid="{00000000-0010-0000-0400-000012000000}" name="Recycling Cert. No." dataDxfId="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4343A81-8988-4191-8EC5-9D5ED2D54906}" name="Table43246714234567891011122345678910432143365749101182345679101213141617151823458910911121314167122345948610111323454678" displayName="Table43246714234567891011122345678910432143365749101182345679101213141617151823458910911121314167122345948610111323454678" ref="A4:Q5" insertRow="1" totalsRowShown="0">
  <autoFilter ref="A4:Q5" xr:uid="{00000000-0009-0000-0100-000005000000}"/>
  <sortState xmlns:xlrd2="http://schemas.microsoft.com/office/spreadsheetml/2017/richdata2" ref="A5:Q6">
    <sortCondition descending="1" ref="B4:B5"/>
  </sortState>
  <tableColumns count="17">
    <tableColumn id="1" xr3:uid="{CECE709E-AAC6-4B67-AE2F-9BAAD022D4E9}" name=" Types of Waste" dataDxfId="33"/>
    <tableColumn id="3" xr3:uid="{C1DF53A2-A055-4A0E-9A95-21F2E072FD8A}" name="Waste Generator" dataDxfId="32"/>
    <tableColumn id="4" xr3:uid="{1CCF76B4-B0EB-426C-BDB4-E1FBAE3451C1}" name="Date of Transport/ Delivery Date" dataDxfId="31"/>
    <tableColumn id="6" xr3:uid="{0F116743-A3B9-4E64-A206-4B1BC653F784}" name="Transport Permit No." dataDxfId="30"/>
    <tableColumn id="7" xr3:uid="{A9E23791-3EE5-4872-9E40-46D0B6922DF4}" name="Quantity (kgs)" dataDxfId="29"/>
    <tableColumn id="11" xr3:uid="{A8D7DD4C-BCEC-44CF-A294-62AE32F6FBFD}" name="Control Number" dataDxfId="28"/>
    <tableColumn id="13" xr3:uid="{D80BBA8B-875F-4E0A-949E-5073A584E339}" name="Manifest Number" dataDxfId="27"/>
    <tableColumn id="20" xr3:uid="{4D8C4CCE-0DB0-4FB5-9E9F-9008D7A41E3B}" name="Previous Balance" dataDxfId="26">
      <calculatedColumnFormula>+#REF!</calculatedColumnFormula>
    </tableColumn>
    <tableColumn id="5" xr3:uid="{0AEDB476-B8E2-4E03-BAA5-7C13D3FCB4C4}" name="22-Nov-23" dataDxfId="25"/>
    <tableColumn id="10" xr3:uid="{5067A5EE-CEB8-4264-AE9C-AB692C9AC4F6}" name="30-Jun-26" dataDxfId="24"/>
    <tableColumn id="12" xr3:uid="{7AA910BE-A1A7-4D28-8ED5-512C91BAC703}" name="Column1" dataDxfId="23"/>
    <tableColumn id="2" xr3:uid="{38314469-27F3-406E-AB89-0DF562E9AFC3}" name="Column2" dataDxfId="22"/>
    <tableColumn id="9" xr3:uid="{5F7A61A5-3CDF-4EFB-818A-361A94953892}" name="Column3" dataDxfId="21"/>
    <tableColumn id="19" xr3:uid="{35A581A2-000E-4191-AB6D-E636B389ECA9}" name="Dis-assy" dataDxfId="20"/>
    <tableColumn id="17" xr3:uid="{2A24F0FE-1D02-46AD-8EBD-DA95AA833855}" name="Balance" dataDxfId="19">
      <calculatedColumnFormula>+Table43246714234567891011122345678910432143365749101182345679101213141617151823458910911121314167122345948610111323454678[[#This Row],[Previous Balance]]-#REF!-#REF!-#REF!-Table43246714234567891011122345678910432143365749101182345679101213141617151823458910911121314167122345948610111323454678[[#This Row],[Dis-assy]]</calculatedColumnFormula>
    </tableColumn>
    <tableColumn id="16" xr3:uid="{65733FC9-371D-443C-AF46-6019E03926D7}" name="Certificate of Treatment" dataDxfId="18"/>
    <tableColumn id="18" xr3:uid="{8D0A5D2B-57C3-4784-9F74-E0962C4307DA}" name="Recycling Cert. No." dataDxfId="17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pageSetUpPr fitToPage="1"/>
  </sheetPr>
  <dimension ref="A1:W148"/>
  <sheetViews>
    <sheetView view="pageBreakPreview" zoomScale="70" zoomScaleNormal="85" zoomScaleSheetLayoutView="70" workbookViewId="0">
      <pane xSplit="3" ySplit="5" topLeftCell="D73" activePane="bottomRight" state="frozen"/>
      <selection pane="topRight"/>
      <selection pane="bottomLeft"/>
      <selection pane="bottomRight" activeCell="O89" sqref="O89"/>
    </sheetView>
  </sheetViews>
  <sheetFormatPr defaultColWidth="9" defaultRowHeight="15"/>
  <cols>
    <col min="1" max="1" width="10.85546875" customWidth="1"/>
    <col min="2" max="2" width="50.28515625" customWidth="1"/>
    <col min="3" max="3" width="16.28515625" style="4" customWidth="1"/>
    <col min="4" max="4" width="30" style="5" customWidth="1"/>
    <col min="5" max="5" width="18.140625" customWidth="1"/>
    <col min="6" max="6" width="19" customWidth="1"/>
    <col min="7" max="7" width="29" customWidth="1"/>
    <col min="8" max="8" width="16" customWidth="1"/>
    <col min="9" max="9" width="13.7109375" hidden="1" customWidth="1"/>
    <col min="10" max="10" width="13.5703125" customWidth="1"/>
    <col min="11" max="13" width="14.42578125" customWidth="1"/>
    <col min="14" max="14" width="14.5703125" customWidth="1"/>
    <col min="15" max="15" width="20.28515625" customWidth="1"/>
    <col min="16" max="16" width="23.85546875" customWidth="1"/>
    <col min="17" max="17" width="11.140625" customWidth="1"/>
    <col min="18" max="18" width="9" customWidth="1"/>
    <col min="19" max="19" width="11" style="6" bestFit="1" customWidth="1"/>
  </cols>
  <sheetData>
    <row r="1" spans="1:20" ht="33.75" customHeight="1">
      <c r="A1" s="372" t="s">
        <v>246</v>
      </c>
      <c r="B1" s="373"/>
      <c r="C1" s="373"/>
      <c r="D1" s="373"/>
      <c r="E1" s="373"/>
      <c r="F1" s="373"/>
      <c r="G1" s="373"/>
      <c r="H1" s="378"/>
      <c r="I1" s="379"/>
      <c r="J1" s="379"/>
      <c r="K1" s="379"/>
      <c r="L1" s="379"/>
      <c r="M1" s="379"/>
      <c r="N1" s="379"/>
      <c r="O1" s="379"/>
      <c r="P1" s="379"/>
      <c r="Q1" s="380"/>
    </row>
    <row r="2" spans="1:20" ht="27.6" customHeight="1">
      <c r="A2" s="374"/>
      <c r="B2" s="375"/>
      <c r="C2" s="375"/>
      <c r="D2" s="375"/>
      <c r="E2" s="375"/>
      <c r="F2" s="375"/>
      <c r="G2" s="375"/>
      <c r="H2" s="7" t="s">
        <v>247</v>
      </c>
      <c r="I2" s="8"/>
      <c r="J2" s="9" t="s">
        <v>45</v>
      </c>
      <c r="K2" s="9" t="s">
        <v>55</v>
      </c>
      <c r="L2" s="9" t="s">
        <v>44</v>
      </c>
      <c r="M2" s="9" t="s">
        <v>55</v>
      </c>
      <c r="N2" s="10"/>
      <c r="O2" s="11"/>
      <c r="P2" s="388"/>
      <c r="Q2" s="389"/>
    </row>
    <row r="3" spans="1:20" ht="23.25" customHeight="1">
      <c r="A3" s="376"/>
      <c r="B3" s="377"/>
      <c r="C3" s="377"/>
      <c r="D3" s="377"/>
      <c r="E3" s="377"/>
      <c r="F3" s="377"/>
      <c r="G3" s="377"/>
      <c r="H3" s="12" t="s">
        <v>46</v>
      </c>
      <c r="I3" s="13"/>
      <c r="J3" s="14">
        <v>46203</v>
      </c>
      <c r="K3" s="14">
        <v>46356</v>
      </c>
      <c r="L3" s="14">
        <v>46446</v>
      </c>
      <c r="M3" s="14">
        <v>46356</v>
      </c>
      <c r="N3" s="15"/>
      <c r="O3" s="16"/>
      <c r="P3" s="390"/>
      <c r="Q3" s="391"/>
    </row>
    <row r="4" spans="1:20" ht="40.5" customHeight="1">
      <c r="A4" s="17" t="s">
        <v>0</v>
      </c>
      <c r="B4" s="18" t="s">
        <v>1</v>
      </c>
      <c r="C4" s="19" t="s">
        <v>2</v>
      </c>
      <c r="D4" s="20" t="s">
        <v>3</v>
      </c>
      <c r="E4" s="21" t="s">
        <v>4</v>
      </c>
      <c r="F4" s="18" t="s">
        <v>5</v>
      </c>
      <c r="G4" s="18" t="s">
        <v>6</v>
      </c>
      <c r="H4" s="18" t="s">
        <v>7</v>
      </c>
      <c r="I4" s="22" t="s">
        <v>8</v>
      </c>
      <c r="J4" s="23" t="s">
        <v>248</v>
      </c>
      <c r="K4" s="24" t="s">
        <v>249</v>
      </c>
      <c r="L4" s="24" t="s">
        <v>250</v>
      </c>
      <c r="M4" s="24" t="s">
        <v>251</v>
      </c>
      <c r="N4" s="18" t="s">
        <v>9</v>
      </c>
      <c r="O4" s="18" t="s">
        <v>10</v>
      </c>
      <c r="P4" s="18" t="s">
        <v>11</v>
      </c>
      <c r="Q4" s="25" t="s">
        <v>12</v>
      </c>
    </row>
    <row r="5" spans="1:20" hidden="1">
      <c r="A5" s="26"/>
      <c r="B5" s="27"/>
      <c r="C5" s="28"/>
      <c r="D5" s="29"/>
      <c r="E5" s="30"/>
      <c r="F5" s="31"/>
      <c r="G5" s="32"/>
      <c r="H5" s="33"/>
      <c r="I5" s="30"/>
      <c r="J5" s="30"/>
      <c r="K5" s="30"/>
      <c r="L5" s="30"/>
      <c r="M5" s="30"/>
      <c r="N5" s="34"/>
      <c r="O5" s="35"/>
      <c r="P5" s="36"/>
      <c r="Q5" s="37"/>
    </row>
    <row r="6" spans="1:20" ht="35.1" customHeight="1">
      <c r="A6" s="93" t="s">
        <v>13</v>
      </c>
      <c r="B6" s="133" t="s">
        <v>21</v>
      </c>
      <c r="C6" s="134">
        <v>46056</v>
      </c>
      <c r="D6" s="135" t="s">
        <v>58</v>
      </c>
      <c r="E6" s="136">
        <v>3039</v>
      </c>
      <c r="F6" s="137" t="s">
        <v>59</v>
      </c>
      <c r="G6" s="138" t="s">
        <v>60</v>
      </c>
      <c r="H6" s="94">
        <v>338</v>
      </c>
      <c r="I6" s="95"/>
      <c r="J6" s="139">
        <v>338</v>
      </c>
      <c r="K6" s="96"/>
      <c r="L6" s="96"/>
      <c r="M6" s="96"/>
      <c r="N6" s="140"/>
      <c r="O6" s="141">
        <f>+H6-J6-K6-L6-M6-N6</f>
        <v>0</v>
      </c>
      <c r="P6" s="99" t="s">
        <v>61</v>
      </c>
      <c r="Q6" s="52" t="s">
        <v>62</v>
      </c>
      <c r="S6" s="51" t="s">
        <v>62</v>
      </c>
      <c r="T6" s="6"/>
    </row>
    <row r="7" spans="1:20" ht="35.1" customHeight="1">
      <c r="A7" s="93" t="s">
        <v>13</v>
      </c>
      <c r="B7" s="133" t="s">
        <v>26</v>
      </c>
      <c r="C7" s="134">
        <v>46058</v>
      </c>
      <c r="D7" s="135" t="s">
        <v>57</v>
      </c>
      <c r="E7" s="136">
        <v>4600</v>
      </c>
      <c r="F7" s="137" t="s">
        <v>63</v>
      </c>
      <c r="G7" s="138" t="s">
        <v>64</v>
      </c>
      <c r="H7" s="94">
        <v>460</v>
      </c>
      <c r="I7" s="95"/>
      <c r="J7" s="139">
        <v>460</v>
      </c>
      <c r="K7" s="96"/>
      <c r="L7" s="96"/>
      <c r="M7" s="96"/>
      <c r="N7" s="140"/>
      <c r="O7" s="141">
        <f t="shared" ref="O7:O70" si="0">+H7-J7-K7-L7-M7-N7</f>
        <v>0</v>
      </c>
      <c r="P7" s="99" t="s">
        <v>65</v>
      </c>
      <c r="Q7" s="100" t="s">
        <v>66</v>
      </c>
      <c r="S7" s="142" t="s">
        <v>66</v>
      </c>
      <c r="T7" s="6"/>
    </row>
    <row r="8" spans="1:20" ht="35.1" customHeight="1">
      <c r="A8" s="93" t="s">
        <v>13</v>
      </c>
      <c r="B8" s="133" t="s">
        <v>26</v>
      </c>
      <c r="C8" s="134">
        <v>46058</v>
      </c>
      <c r="D8" s="135" t="s">
        <v>57</v>
      </c>
      <c r="E8" s="136">
        <v>4431</v>
      </c>
      <c r="F8" s="137" t="s">
        <v>67</v>
      </c>
      <c r="G8" s="138" t="s">
        <v>68</v>
      </c>
      <c r="H8" s="94">
        <v>912</v>
      </c>
      <c r="I8" s="95"/>
      <c r="J8" s="139">
        <v>912</v>
      </c>
      <c r="K8" s="96"/>
      <c r="L8" s="96"/>
      <c r="M8" s="96"/>
      <c r="N8" s="140"/>
      <c r="O8" s="141">
        <f t="shared" si="0"/>
        <v>0</v>
      </c>
      <c r="P8" s="99" t="s">
        <v>69</v>
      </c>
      <c r="Q8" s="100" t="s">
        <v>70</v>
      </c>
      <c r="S8" s="142" t="s">
        <v>70</v>
      </c>
      <c r="T8" s="6"/>
    </row>
    <row r="9" spans="1:20" ht="35.1" customHeight="1">
      <c r="A9" s="93" t="s">
        <v>13</v>
      </c>
      <c r="B9" s="133" t="s">
        <v>25</v>
      </c>
      <c r="C9" s="134">
        <v>46059</v>
      </c>
      <c r="D9" s="135" t="s">
        <v>71</v>
      </c>
      <c r="E9" s="136">
        <v>3905</v>
      </c>
      <c r="F9" s="137" t="s">
        <v>72</v>
      </c>
      <c r="G9" s="138" t="s">
        <v>73</v>
      </c>
      <c r="H9" s="94">
        <v>3905</v>
      </c>
      <c r="I9" s="95"/>
      <c r="J9" s="139">
        <v>3905</v>
      </c>
      <c r="K9" s="96"/>
      <c r="L9" s="96"/>
      <c r="M9" s="96"/>
      <c r="N9" s="140"/>
      <c r="O9" s="141">
        <f t="shared" si="0"/>
        <v>0</v>
      </c>
      <c r="P9" s="99" t="s">
        <v>74</v>
      </c>
      <c r="Q9" s="100" t="s">
        <v>16</v>
      </c>
      <c r="S9" s="143"/>
      <c r="T9" s="6"/>
    </row>
    <row r="10" spans="1:20" ht="35.1" customHeight="1">
      <c r="A10" s="93" t="s">
        <v>13</v>
      </c>
      <c r="B10" s="133" t="s">
        <v>25</v>
      </c>
      <c r="C10" s="134">
        <v>46062</v>
      </c>
      <c r="D10" s="135" t="s">
        <v>71</v>
      </c>
      <c r="E10" s="136">
        <v>2453</v>
      </c>
      <c r="F10" s="137" t="s">
        <v>75</v>
      </c>
      <c r="G10" s="138" t="s">
        <v>76</v>
      </c>
      <c r="H10" s="94">
        <v>2043</v>
      </c>
      <c r="I10" s="95"/>
      <c r="J10" s="139">
        <v>2043</v>
      </c>
      <c r="K10" s="96"/>
      <c r="L10" s="96"/>
      <c r="M10" s="96"/>
      <c r="N10" s="140"/>
      <c r="O10" s="141">
        <f t="shared" si="0"/>
        <v>0</v>
      </c>
      <c r="P10" s="99" t="s">
        <v>77</v>
      </c>
      <c r="Q10" s="100" t="s">
        <v>78</v>
      </c>
      <c r="S10" s="143"/>
      <c r="T10" s="6"/>
    </row>
    <row r="11" spans="1:20" ht="35.1" customHeight="1">
      <c r="A11" s="93" t="s">
        <v>13</v>
      </c>
      <c r="B11" s="133" t="s">
        <v>18</v>
      </c>
      <c r="C11" s="134">
        <v>46063</v>
      </c>
      <c r="D11" s="135" t="s">
        <v>50</v>
      </c>
      <c r="E11" s="136">
        <v>11990.5</v>
      </c>
      <c r="F11" s="137" t="s">
        <v>79</v>
      </c>
      <c r="G11" s="138" t="s">
        <v>80</v>
      </c>
      <c r="H11" s="94">
        <v>10439</v>
      </c>
      <c r="I11" s="95"/>
      <c r="J11" s="139">
        <v>10439</v>
      </c>
      <c r="K11" s="96"/>
      <c r="L11" s="96"/>
      <c r="M11" s="96"/>
      <c r="N11" s="140"/>
      <c r="O11" s="141">
        <f t="shared" si="0"/>
        <v>0</v>
      </c>
      <c r="P11" s="99" t="s">
        <v>81</v>
      </c>
      <c r="Q11" s="100" t="s">
        <v>82</v>
      </c>
      <c r="S11" s="143"/>
      <c r="T11" s="6"/>
    </row>
    <row r="12" spans="1:20" ht="35.1" customHeight="1">
      <c r="A12" s="93" t="s">
        <v>13</v>
      </c>
      <c r="B12" s="133" t="s">
        <v>18</v>
      </c>
      <c r="C12" s="134">
        <v>46063</v>
      </c>
      <c r="D12" s="135" t="s">
        <v>50</v>
      </c>
      <c r="E12" s="136">
        <v>11666</v>
      </c>
      <c r="F12" s="137" t="s">
        <v>83</v>
      </c>
      <c r="G12" s="138" t="s">
        <v>84</v>
      </c>
      <c r="H12" s="94">
        <v>10179</v>
      </c>
      <c r="I12" s="95"/>
      <c r="J12" s="96"/>
      <c r="K12" s="139">
        <v>10179</v>
      </c>
      <c r="L12" s="96"/>
      <c r="M12" s="96"/>
      <c r="N12" s="140"/>
      <c r="O12" s="141">
        <f t="shared" si="0"/>
        <v>0</v>
      </c>
      <c r="P12" s="99" t="s">
        <v>85</v>
      </c>
      <c r="Q12" s="100" t="s">
        <v>86</v>
      </c>
      <c r="S12" s="143"/>
      <c r="T12" s="6"/>
    </row>
    <row r="13" spans="1:20" ht="35.1" customHeight="1">
      <c r="A13" s="93" t="s">
        <v>13</v>
      </c>
      <c r="B13" s="133" t="s">
        <v>28</v>
      </c>
      <c r="C13" s="134">
        <v>46065</v>
      </c>
      <c r="D13" s="135" t="s">
        <v>29</v>
      </c>
      <c r="E13" s="136">
        <v>3263</v>
      </c>
      <c r="F13" s="137" t="s">
        <v>87</v>
      </c>
      <c r="G13" s="138" t="s">
        <v>88</v>
      </c>
      <c r="H13" s="94">
        <v>452</v>
      </c>
      <c r="I13" s="95"/>
      <c r="J13" s="139">
        <v>452</v>
      </c>
      <c r="K13" s="96"/>
      <c r="L13" s="96"/>
      <c r="M13" s="96"/>
      <c r="N13" s="140"/>
      <c r="O13" s="141">
        <f t="shared" si="0"/>
        <v>0</v>
      </c>
      <c r="P13" s="99" t="s">
        <v>89</v>
      </c>
      <c r="Q13" s="100" t="s">
        <v>90</v>
      </c>
      <c r="S13" s="143"/>
      <c r="T13" s="6"/>
    </row>
    <row r="14" spans="1:20" s="131" customFormat="1" ht="35.1" customHeight="1">
      <c r="A14" s="38" t="s">
        <v>13</v>
      </c>
      <c r="B14" s="83" t="s">
        <v>15</v>
      </c>
      <c r="C14" s="84">
        <v>46069</v>
      </c>
      <c r="D14" s="144" t="s">
        <v>36</v>
      </c>
      <c r="E14" s="86">
        <v>968.2</v>
      </c>
      <c r="F14" s="87" t="s">
        <v>91</v>
      </c>
      <c r="G14" s="85" t="s">
        <v>92</v>
      </c>
      <c r="H14" s="45">
        <v>487.4</v>
      </c>
      <c r="I14" s="46"/>
      <c r="J14" s="47"/>
      <c r="K14" s="47"/>
      <c r="L14" s="47"/>
      <c r="M14" s="145">
        <v>487.4</v>
      </c>
      <c r="N14" s="49"/>
      <c r="O14" s="50">
        <f t="shared" si="0"/>
        <v>0</v>
      </c>
      <c r="P14" s="51" t="s">
        <v>93</v>
      </c>
      <c r="Q14" s="52" t="s">
        <v>94</v>
      </c>
      <c r="S14" s="69"/>
    </row>
    <row r="15" spans="1:20" ht="35.1" customHeight="1">
      <c r="A15" s="93" t="s">
        <v>13</v>
      </c>
      <c r="B15" s="133" t="s">
        <v>25</v>
      </c>
      <c r="C15" s="134">
        <v>46071</v>
      </c>
      <c r="D15" s="135" t="s">
        <v>71</v>
      </c>
      <c r="E15" s="136">
        <v>2002</v>
      </c>
      <c r="F15" s="137" t="s">
        <v>95</v>
      </c>
      <c r="G15" s="138" t="s">
        <v>96</v>
      </c>
      <c r="H15" s="94">
        <v>2002</v>
      </c>
      <c r="I15" s="95"/>
      <c r="J15" s="139">
        <v>2002</v>
      </c>
      <c r="K15" s="96"/>
      <c r="L15" s="96"/>
      <c r="M15" s="96"/>
      <c r="N15" s="140"/>
      <c r="O15" s="141">
        <f t="shared" si="0"/>
        <v>0</v>
      </c>
      <c r="P15" s="99" t="s">
        <v>97</v>
      </c>
      <c r="Q15" s="100" t="s">
        <v>16</v>
      </c>
      <c r="S15" s="143"/>
      <c r="T15" s="6"/>
    </row>
    <row r="16" spans="1:20" ht="35.1" customHeight="1">
      <c r="A16" s="93" t="s">
        <v>13</v>
      </c>
      <c r="B16" s="133" t="s">
        <v>47</v>
      </c>
      <c r="C16" s="134">
        <v>46072</v>
      </c>
      <c r="D16" s="135" t="s">
        <v>48</v>
      </c>
      <c r="E16" s="136">
        <v>1925</v>
      </c>
      <c r="F16" s="137" t="s">
        <v>98</v>
      </c>
      <c r="G16" s="138" t="s">
        <v>99</v>
      </c>
      <c r="H16" s="94">
        <v>822</v>
      </c>
      <c r="I16" s="95"/>
      <c r="J16" s="139">
        <v>822</v>
      </c>
      <c r="K16" s="96"/>
      <c r="L16" s="96"/>
      <c r="M16" s="96"/>
      <c r="N16" s="140"/>
      <c r="O16" s="141">
        <f t="shared" si="0"/>
        <v>0</v>
      </c>
      <c r="P16" s="99" t="s">
        <v>100</v>
      </c>
      <c r="Q16" s="100" t="s">
        <v>101</v>
      </c>
      <c r="S16" s="143"/>
      <c r="T16" s="6"/>
    </row>
    <row r="17" spans="1:20" ht="35.1" customHeight="1">
      <c r="A17" s="93" t="s">
        <v>13</v>
      </c>
      <c r="B17" s="133" t="s">
        <v>22</v>
      </c>
      <c r="C17" s="134">
        <v>46073</v>
      </c>
      <c r="D17" s="135" t="s">
        <v>23</v>
      </c>
      <c r="E17" s="136">
        <v>1657</v>
      </c>
      <c r="F17" s="137" t="s">
        <v>102</v>
      </c>
      <c r="G17" s="138" t="s">
        <v>103</v>
      </c>
      <c r="H17" s="94">
        <v>1657</v>
      </c>
      <c r="I17" s="95"/>
      <c r="J17" s="139">
        <v>1657</v>
      </c>
      <c r="K17" s="96"/>
      <c r="L17" s="96"/>
      <c r="M17" s="96"/>
      <c r="N17" s="140"/>
      <c r="O17" s="141">
        <f t="shared" si="0"/>
        <v>0</v>
      </c>
      <c r="P17" s="99" t="s">
        <v>104</v>
      </c>
      <c r="Q17" s="100" t="s">
        <v>16</v>
      </c>
      <c r="S17" s="143"/>
      <c r="T17" s="6"/>
    </row>
    <row r="18" spans="1:20" ht="35.1" customHeight="1">
      <c r="A18" s="93" t="s">
        <v>13</v>
      </c>
      <c r="B18" s="133" t="s">
        <v>105</v>
      </c>
      <c r="C18" s="134">
        <v>46076</v>
      </c>
      <c r="D18" s="135" t="s">
        <v>20</v>
      </c>
      <c r="E18" s="136">
        <v>524.5</v>
      </c>
      <c r="F18" s="137" t="s">
        <v>106</v>
      </c>
      <c r="G18" s="138" t="s">
        <v>107</v>
      </c>
      <c r="H18" s="94">
        <v>524.5</v>
      </c>
      <c r="I18" s="95"/>
      <c r="J18" s="139">
        <v>524.5</v>
      </c>
      <c r="K18" s="96"/>
      <c r="L18" s="96"/>
      <c r="M18" s="97"/>
      <c r="N18" s="140"/>
      <c r="O18" s="141">
        <f t="shared" si="0"/>
        <v>0</v>
      </c>
      <c r="P18" s="99" t="s">
        <v>108</v>
      </c>
      <c r="Q18" s="100" t="s">
        <v>16</v>
      </c>
      <c r="S18" s="143"/>
      <c r="T18" s="6"/>
    </row>
    <row r="19" spans="1:20" ht="35.1" customHeight="1">
      <c r="A19" s="93" t="s">
        <v>13</v>
      </c>
      <c r="B19" s="133" t="s">
        <v>26</v>
      </c>
      <c r="C19" s="134">
        <v>46076</v>
      </c>
      <c r="D19" s="135" t="s">
        <v>57</v>
      </c>
      <c r="E19" s="136">
        <v>4700</v>
      </c>
      <c r="F19" s="137" t="s">
        <v>109</v>
      </c>
      <c r="G19" s="138" t="s">
        <v>110</v>
      </c>
      <c r="H19" s="94">
        <v>4443.5</v>
      </c>
      <c r="I19" s="95"/>
      <c r="J19" s="96"/>
      <c r="K19" s="139">
        <v>4443.5</v>
      </c>
      <c r="L19" s="96"/>
      <c r="M19" s="97"/>
      <c r="N19" s="140"/>
      <c r="O19" s="141">
        <f t="shared" si="0"/>
        <v>0</v>
      </c>
      <c r="P19" s="99" t="s">
        <v>111</v>
      </c>
      <c r="Q19" s="100" t="s">
        <v>112</v>
      </c>
      <c r="S19" s="143"/>
      <c r="T19" s="6"/>
    </row>
    <row r="20" spans="1:20" ht="35.1" customHeight="1">
      <c r="A20" s="93" t="s">
        <v>13</v>
      </c>
      <c r="B20" s="133" t="s">
        <v>26</v>
      </c>
      <c r="C20" s="134">
        <v>46077</v>
      </c>
      <c r="D20" s="135" t="s">
        <v>57</v>
      </c>
      <c r="E20" s="136">
        <v>1441.5</v>
      </c>
      <c r="F20" s="137" t="s">
        <v>113</v>
      </c>
      <c r="G20" s="138" t="s">
        <v>114</v>
      </c>
      <c r="H20" s="94">
        <v>1441.5</v>
      </c>
      <c r="I20" s="95"/>
      <c r="J20" s="96"/>
      <c r="K20" s="139">
        <v>1441.5</v>
      </c>
      <c r="L20" s="96"/>
      <c r="M20" s="97"/>
      <c r="N20" s="140"/>
      <c r="O20" s="141">
        <f t="shared" si="0"/>
        <v>0</v>
      </c>
      <c r="P20" s="99" t="s">
        <v>115</v>
      </c>
      <c r="Q20" s="100" t="s">
        <v>16</v>
      </c>
      <c r="S20" s="143"/>
      <c r="T20" s="6"/>
    </row>
    <row r="21" spans="1:20" ht="35.1" customHeight="1">
      <c r="A21" s="93" t="s">
        <v>13</v>
      </c>
      <c r="B21" s="133" t="s">
        <v>26</v>
      </c>
      <c r="C21" s="134">
        <v>46077</v>
      </c>
      <c r="D21" s="135" t="s">
        <v>57</v>
      </c>
      <c r="E21" s="136">
        <v>1245</v>
      </c>
      <c r="F21" s="137" t="s">
        <v>116</v>
      </c>
      <c r="G21" s="138" t="s">
        <v>117</v>
      </c>
      <c r="H21" s="94">
        <v>1245</v>
      </c>
      <c r="I21" s="95"/>
      <c r="J21" s="139">
        <v>1245</v>
      </c>
      <c r="K21" s="96"/>
      <c r="L21" s="96"/>
      <c r="M21" s="97"/>
      <c r="N21" s="140"/>
      <c r="O21" s="141">
        <f t="shared" si="0"/>
        <v>0</v>
      </c>
      <c r="P21" s="99" t="s">
        <v>118</v>
      </c>
      <c r="Q21" s="100" t="s">
        <v>16</v>
      </c>
      <c r="S21" s="53"/>
    </row>
    <row r="22" spans="1:20" ht="35.1" customHeight="1">
      <c r="A22" s="93" t="s">
        <v>13</v>
      </c>
      <c r="B22" s="133" t="s">
        <v>25</v>
      </c>
      <c r="C22" s="134">
        <v>46078</v>
      </c>
      <c r="D22" s="135" t="s">
        <v>71</v>
      </c>
      <c r="E22" s="136">
        <v>4502</v>
      </c>
      <c r="F22" s="137" t="s">
        <v>119</v>
      </c>
      <c r="G22" s="138" t="s">
        <v>120</v>
      </c>
      <c r="H22" s="94">
        <v>4255</v>
      </c>
      <c r="I22" s="95"/>
      <c r="J22" s="96"/>
      <c r="K22" s="139">
        <v>4255</v>
      </c>
      <c r="L22" s="96"/>
      <c r="M22" s="97"/>
      <c r="N22" s="140"/>
      <c r="O22" s="141">
        <f t="shared" si="0"/>
        <v>0</v>
      </c>
      <c r="P22" s="99" t="s">
        <v>121</v>
      </c>
      <c r="Q22" s="100" t="s">
        <v>122</v>
      </c>
      <c r="S22" s="53"/>
    </row>
    <row r="23" spans="1:20" s="132" customFormat="1" ht="35.1" customHeight="1">
      <c r="A23" s="93" t="s">
        <v>13</v>
      </c>
      <c r="B23" s="133" t="s">
        <v>19</v>
      </c>
      <c r="C23" s="134">
        <v>46080</v>
      </c>
      <c r="D23" s="135" t="s">
        <v>125</v>
      </c>
      <c r="E23" s="136">
        <v>3403</v>
      </c>
      <c r="F23" s="137" t="s">
        <v>126</v>
      </c>
      <c r="G23" s="138" t="s">
        <v>127</v>
      </c>
      <c r="H23" s="94">
        <v>3403</v>
      </c>
      <c r="I23" s="95"/>
      <c r="J23" s="96"/>
      <c r="K23" s="139">
        <v>3403</v>
      </c>
      <c r="L23" s="96"/>
      <c r="M23" s="97"/>
      <c r="N23" s="140"/>
      <c r="O23" s="141">
        <f t="shared" si="0"/>
        <v>0</v>
      </c>
      <c r="P23" s="99" t="s">
        <v>128</v>
      </c>
      <c r="Q23" s="100" t="s">
        <v>124</v>
      </c>
      <c r="S23" s="146"/>
    </row>
    <row r="24" spans="1:20" s="1" customFormat="1" ht="35.1" customHeight="1">
      <c r="A24" s="38" t="s">
        <v>13</v>
      </c>
      <c r="B24" s="88" t="s">
        <v>25</v>
      </c>
      <c r="C24" s="40">
        <v>46083</v>
      </c>
      <c r="D24" s="144" t="s">
        <v>71</v>
      </c>
      <c r="E24" s="86">
        <v>4179</v>
      </c>
      <c r="F24" s="43" t="s">
        <v>130</v>
      </c>
      <c r="G24" s="85" t="s">
        <v>131</v>
      </c>
      <c r="H24" s="45">
        <v>2555</v>
      </c>
      <c r="I24" s="46"/>
      <c r="J24" s="47"/>
      <c r="K24" s="47"/>
      <c r="L24" s="145">
        <v>2555</v>
      </c>
      <c r="M24" s="48"/>
      <c r="N24" s="49"/>
      <c r="O24" s="50">
        <f t="shared" si="0"/>
        <v>0</v>
      </c>
      <c r="P24" s="51" t="s">
        <v>132</v>
      </c>
      <c r="Q24" s="52" t="s">
        <v>133</v>
      </c>
      <c r="S24" s="53"/>
    </row>
    <row r="25" spans="1:20" s="1" customFormat="1" ht="35.1" customHeight="1">
      <c r="A25" s="38" t="s">
        <v>13</v>
      </c>
      <c r="B25" s="88" t="s">
        <v>27</v>
      </c>
      <c r="C25" s="40">
        <v>46084</v>
      </c>
      <c r="D25" s="147" t="s">
        <v>53</v>
      </c>
      <c r="E25" s="90">
        <v>2076</v>
      </c>
      <c r="F25" s="43" t="s">
        <v>134</v>
      </c>
      <c r="G25" s="43" t="s">
        <v>135</v>
      </c>
      <c r="H25" s="45">
        <v>1914.5</v>
      </c>
      <c r="I25" s="46"/>
      <c r="J25" s="47"/>
      <c r="K25" s="47"/>
      <c r="L25" s="145">
        <v>1914.5</v>
      </c>
      <c r="M25" s="48"/>
      <c r="N25" s="49"/>
      <c r="O25" s="50">
        <f t="shared" si="0"/>
        <v>0</v>
      </c>
      <c r="P25" s="51" t="s">
        <v>136</v>
      </c>
      <c r="Q25" s="52" t="s">
        <v>137</v>
      </c>
      <c r="S25" s="53"/>
    </row>
    <row r="26" spans="1:20" s="1" customFormat="1" ht="35.1" customHeight="1">
      <c r="A26" s="38" t="s">
        <v>13</v>
      </c>
      <c r="B26" s="88" t="s">
        <v>21</v>
      </c>
      <c r="C26" s="40">
        <v>46086</v>
      </c>
      <c r="D26" s="147" t="s">
        <v>58</v>
      </c>
      <c r="E26" s="90">
        <v>1706</v>
      </c>
      <c r="F26" s="43" t="s">
        <v>138</v>
      </c>
      <c r="G26" s="43" t="s">
        <v>139</v>
      </c>
      <c r="H26" s="45">
        <v>1463</v>
      </c>
      <c r="I26" s="46"/>
      <c r="J26" s="47"/>
      <c r="K26" s="47"/>
      <c r="L26" s="145">
        <v>1463</v>
      </c>
      <c r="M26" s="48"/>
      <c r="N26" s="49"/>
      <c r="O26" s="50">
        <f t="shared" si="0"/>
        <v>0</v>
      </c>
      <c r="P26" s="51" t="s">
        <v>140</v>
      </c>
      <c r="Q26" s="52" t="s">
        <v>141</v>
      </c>
      <c r="S26" s="53"/>
    </row>
    <row r="27" spans="1:20" s="1" customFormat="1" ht="35.1" customHeight="1">
      <c r="A27" s="38" t="s">
        <v>13</v>
      </c>
      <c r="B27" s="88" t="s">
        <v>142</v>
      </c>
      <c r="C27" s="40">
        <v>46086</v>
      </c>
      <c r="D27" s="147" t="s">
        <v>143</v>
      </c>
      <c r="E27" s="90">
        <v>1848.4</v>
      </c>
      <c r="F27" s="43" t="s">
        <v>144</v>
      </c>
      <c r="G27" s="43" t="s">
        <v>145</v>
      </c>
      <c r="H27" s="45">
        <v>1848.4</v>
      </c>
      <c r="I27" s="46"/>
      <c r="J27" s="47"/>
      <c r="K27" s="47"/>
      <c r="L27" s="145">
        <v>1848.4</v>
      </c>
      <c r="M27" s="48"/>
      <c r="N27" s="49"/>
      <c r="O27" s="50">
        <f t="shared" si="0"/>
        <v>0</v>
      </c>
      <c r="P27" s="51" t="s">
        <v>146</v>
      </c>
      <c r="Q27" s="52" t="s">
        <v>16</v>
      </c>
      <c r="S27" s="53"/>
    </row>
    <row r="28" spans="1:20" s="1" customFormat="1" ht="35.1" customHeight="1">
      <c r="A28" s="38" t="s">
        <v>13</v>
      </c>
      <c r="B28" s="88" t="s">
        <v>18</v>
      </c>
      <c r="C28" s="40">
        <v>46086</v>
      </c>
      <c r="D28" s="147" t="s">
        <v>50</v>
      </c>
      <c r="E28" s="90">
        <v>10919</v>
      </c>
      <c r="F28" s="43" t="s">
        <v>147</v>
      </c>
      <c r="G28" s="43" t="s">
        <v>148</v>
      </c>
      <c r="H28" s="45">
        <v>9287</v>
      </c>
      <c r="I28" s="46"/>
      <c r="J28" s="47"/>
      <c r="K28" s="47"/>
      <c r="L28" s="145">
        <v>9287</v>
      </c>
      <c r="M28" s="48"/>
      <c r="N28" s="49"/>
      <c r="O28" s="50">
        <f t="shared" si="0"/>
        <v>0</v>
      </c>
      <c r="P28" s="51" t="s">
        <v>149</v>
      </c>
      <c r="Q28" s="52" t="s">
        <v>150</v>
      </c>
      <c r="S28" s="53"/>
    </row>
    <row r="29" spans="1:20" s="1" customFormat="1" ht="35.1" customHeight="1">
      <c r="A29" s="38" t="s">
        <v>13</v>
      </c>
      <c r="B29" s="88" t="s">
        <v>14</v>
      </c>
      <c r="C29" s="40">
        <v>46086</v>
      </c>
      <c r="D29" s="147" t="s">
        <v>151</v>
      </c>
      <c r="E29" s="90">
        <v>6478</v>
      </c>
      <c r="F29" s="43" t="s">
        <v>152</v>
      </c>
      <c r="G29" s="43" t="s">
        <v>153</v>
      </c>
      <c r="H29" s="45">
        <v>4330</v>
      </c>
      <c r="I29" s="46"/>
      <c r="J29" s="47"/>
      <c r="K29" s="47"/>
      <c r="L29" s="145">
        <v>4330</v>
      </c>
      <c r="M29" s="48"/>
      <c r="N29" s="49"/>
      <c r="O29" s="50">
        <f t="shared" si="0"/>
        <v>0</v>
      </c>
      <c r="P29" s="51" t="s">
        <v>154</v>
      </c>
      <c r="Q29" s="52" t="s">
        <v>155</v>
      </c>
      <c r="S29" s="53"/>
    </row>
    <row r="30" spans="1:20" s="1" customFormat="1" ht="35.1" customHeight="1">
      <c r="A30" s="138" t="s">
        <v>13</v>
      </c>
      <c r="B30" s="88" t="s">
        <v>22</v>
      </c>
      <c r="C30" s="40">
        <v>46087</v>
      </c>
      <c r="D30" s="147" t="s">
        <v>23</v>
      </c>
      <c r="E30" s="90">
        <v>1488</v>
      </c>
      <c r="F30" s="43" t="s">
        <v>156</v>
      </c>
      <c r="G30" s="43" t="s">
        <v>157</v>
      </c>
      <c r="H30" s="45">
        <v>1488</v>
      </c>
      <c r="I30" s="46"/>
      <c r="J30" s="47"/>
      <c r="K30" s="47"/>
      <c r="L30" s="145">
        <v>1488</v>
      </c>
      <c r="M30" s="48"/>
      <c r="N30" s="49"/>
      <c r="O30" s="50">
        <f t="shared" si="0"/>
        <v>0</v>
      </c>
      <c r="P30" s="51" t="s">
        <v>158</v>
      </c>
      <c r="Q30" s="52" t="s">
        <v>16</v>
      </c>
      <c r="S30" s="53"/>
    </row>
    <row r="31" spans="1:20" s="1" customFormat="1" ht="35.1" customHeight="1">
      <c r="A31" s="38" t="s">
        <v>13</v>
      </c>
      <c r="B31" s="88" t="s">
        <v>21</v>
      </c>
      <c r="C31" s="40">
        <v>46087</v>
      </c>
      <c r="D31" s="147" t="s">
        <v>58</v>
      </c>
      <c r="E31" s="90">
        <v>5648</v>
      </c>
      <c r="F31" s="43" t="s">
        <v>159</v>
      </c>
      <c r="G31" s="43" t="s">
        <v>160</v>
      </c>
      <c r="H31" s="45">
        <v>995</v>
      </c>
      <c r="I31" s="46"/>
      <c r="J31" s="47"/>
      <c r="K31" s="47"/>
      <c r="L31" s="47"/>
      <c r="M31" s="145">
        <v>995</v>
      </c>
      <c r="N31" s="49"/>
      <c r="O31" s="50">
        <f t="shared" si="0"/>
        <v>0</v>
      </c>
      <c r="P31" s="51" t="s">
        <v>161</v>
      </c>
      <c r="Q31" s="52" t="s">
        <v>162</v>
      </c>
      <c r="S31" s="53"/>
    </row>
    <row r="32" spans="1:20" s="1" customFormat="1" ht="35.1" customHeight="1">
      <c r="A32" s="150" t="s">
        <v>13</v>
      </c>
      <c r="B32" s="151" t="s">
        <v>25</v>
      </c>
      <c r="C32" s="152">
        <v>46087</v>
      </c>
      <c r="D32" s="153" t="s">
        <v>71</v>
      </c>
      <c r="E32" s="154">
        <v>1254</v>
      </c>
      <c r="F32" s="155" t="s">
        <v>163</v>
      </c>
      <c r="G32" s="155" t="s">
        <v>164</v>
      </c>
      <c r="H32" s="45">
        <v>1254</v>
      </c>
      <c r="I32" s="46"/>
      <c r="J32" s="47"/>
      <c r="K32" s="47"/>
      <c r="L32" s="145">
        <v>1254</v>
      </c>
      <c r="M32" s="48"/>
      <c r="N32" s="49"/>
      <c r="O32" s="50">
        <f t="shared" si="0"/>
        <v>0</v>
      </c>
      <c r="P32" s="51" t="s">
        <v>165</v>
      </c>
      <c r="Q32" s="52" t="s">
        <v>16</v>
      </c>
      <c r="S32" s="53"/>
    </row>
    <row r="33" spans="1:19" s="1" customFormat="1" ht="35.1" customHeight="1">
      <c r="A33" s="38" t="s">
        <v>13</v>
      </c>
      <c r="B33" s="88" t="s">
        <v>25</v>
      </c>
      <c r="C33" s="40">
        <v>46090</v>
      </c>
      <c r="D33" s="147" t="s">
        <v>71</v>
      </c>
      <c r="E33" s="90">
        <v>3132</v>
      </c>
      <c r="F33" s="43" t="s">
        <v>166</v>
      </c>
      <c r="G33" s="43" t="s">
        <v>167</v>
      </c>
      <c r="H33" s="45">
        <v>660</v>
      </c>
      <c r="I33" s="46"/>
      <c r="J33" s="47"/>
      <c r="K33" s="47"/>
      <c r="L33" s="145">
        <f>660-5</f>
        <v>655</v>
      </c>
      <c r="M33" s="145">
        <v>5</v>
      </c>
      <c r="N33" s="49"/>
      <c r="O33" s="50">
        <f t="shared" si="0"/>
        <v>0</v>
      </c>
      <c r="P33" s="51" t="s">
        <v>168</v>
      </c>
      <c r="Q33" s="52" t="s">
        <v>169</v>
      </c>
      <c r="S33" s="53"/>
    </row>
    <row r="34" spans="1:19" s="1" customFormat="1" ht="35.1" customHeight="1">
      <c r="A34" s="38" t="s">
        <v>13</v>
      </c>
      <c r="B34" s="88" t="s">
        <v>19</v>
      </c>
      <c r="C34" s="40">
        <v>46091</v>
      </c>
      <c r="D34" s="147" t="s">
        <v>125</v>
      </c>
      <c r="E34" s="90">
        <v>7714</v>
      </c>
      <c r="F34" s="43" t="s">
        <v>170</v>
      </c>
      <c r="G34" s="43" t="s">
        <v>171</v>
      </c>
      <c r="H34" s="45">
        <v>6125</v>
      </c>
      <c r="I34" s="46"/>
      <c r="J34" s="47"/>
      <c r="K34" s="47"/>
      <c r="L34" s="47"/>
      <c r="M34" s="145">
        <v>6125</v>
      </c>
      <c r="N34" s="49"/>
      <c r="O34" s="50">
        <f t="shared" si="0"/>
        <v>0</v>
      </c>
      <c r="P34" s="51" t="s">
        <v>172</v>
      </c>
      <c r="Q34" s="52" t="s">
        <v>173</v>
      </c>
      <c r="S34" s="53"/>
    </row>
    <row r="35" spans="1:19" s="1" customFormat="1" ht="35.1" customHeight="1">
      <c r="A35" s="38" t="s">
        <v>13</v>
      </c>
      <c r="B35" s="88" t="s">
        <v>18</v>
      </c>
      <c r="C35" s="40">
        <v>46092</v>
      </c>
      <c r="D35" s="147" t="s">
        <v>50</v>
      </c>
      <c r="E35" s="90">
        <v>7690.5</v>
      </c>
      <c r="F35" s="43" t="s">
        <v>174</v>
      </c>
      <c r="G35" s="43" t="s">
        <v>175</v>
      </c>
      <c r="H35" s="45">
        <v>5109</v>
      </c>
      <c r="I35" s="46"/>
      <c r="J35" s="47"/>
      <c r="K35" s="47"/>
      <c r="L35" s="47"/>
      <c r="M35" s="145">
        <v>5109</v>
      </c>
      <c r="N35" s="49"/>
      <c r="O35" s="50">
        <f t="shared" si="0"/>
        <v>0</v>
      </c>
      <c r="P35" s="51" t="s">
        <v>176</v>
      </c>
      <c r="Q35" s="52" t="s">
        <v>177</v>
      </c>
      <c r="S35" s="53"/>
    </row>
    <row r="36" spans="1:19" s="1" customFormat="1" ht="35.1" customHeight="1">
      <c r="A36" s="38" t="s">
        <v>13</v>
      </c>
      <c r="B36" s="88" t="s">
        <v>21</v>
      </c>
      <c r="C36" s="40">
        <v>46092</v>
      </c>
      <c r="D36" s="147" t="s">
        <v>58</v>
      </c>
      <c r="E36" s="90">
        <v>1806</v>
      </c>
      <c r="F36" s="43" t="s">
        <v>178</v>
      </c>
      <c r="G36" s="43" t="s">
        <v>179</v>
      </c>
      <c r="H36" s="45">
        <v>146</v>
      </c>
      <c r="I36" s="46"/>
      <c r="J36" s="47"/>
      <c r="K36" s="47"/>
      <c r="L36" s="47"/>
      <c r="M36" s="145">
        <v>146</v>
      </c>
      <c r="N36" s="49"/>
      <c r="O36" s="50">
        <f t="shared" si="0"/>
        <v>0</v>
      </c>
      <c r="P36" s="51" t="s">
        <v>180</v>
      </c>
      <c r="Q36" s="52" t="s">
        <v>181</v>
      </c>
      <c r="S36" s="53"/>
    </row>
    <row r="37" spans="1:19" s="1" customFormat="1" ht="35.1" customHeight="1">
      <c r="A37" s="156" t="s">
        <v>13</v>
      </c>
      <c r="B37" s="157" t="s">
        <v>30</v>
      </c>
      <c r="C37" s="158">
        <v>46092</v>
      </c>
      <c r="D37" s="159" t="s">
        <v>182</v>
      </c>
      <c r="E37" s="160">
        <v>7156</v>
      </c>
      <c r="F37" s="161" t="s">
        <v>183</v>
      </c>
      <c r="G37" s="161" t="s">
        <v>184</v>
      </c>
      <c r="H37" s="162">
        <v>5423</v>
      </c>
      <c r="I37" s="163"/>
      <c r="J37" s="164"/>
      <c r="K37" s="164"/>
      <c r="L37" s="164"/>
      <c r="M37" s="165">
        <v>5423</v>
      </c>
      <c r="N37" s="166"/>
      <c r="O37" s="167">
        <f t="shared" si="0"/>
        <v>0</v>
      </c>
      <c r="P37" s="168" t="s">
        <v>185</v>
      </c>
      <c r="Q37" s="169" t="s">
        <v>186</v>
      </c>
      <c r="S37" s="53"/>
    </row>
    <row r="38" spans="1:19" s="1" customFormat="1" ht="35.1" customHeight="1">
      <c r="A38" s="70" t="s">
        <v>13</v>
      </c>
      <c r="B38" s="39" t="s">
        <v>17</v>
      </c>
      <c r="C38" s="72">
        <v>46093</v>
      </c>
      <c r="D38" s="41" t="s">
        <v>187</v>
      </c>
      <c r="E38" s="42">
        <v>6114</v>
      </c>
      <c r="F38" s="44" t="s">
        <v>188</v>
      </c>
      <c r="G38" s="44" t="s">
        <v>189</v>
      </c>
      <c r="H38" s="75">
        <v>4877.5</v>
      </c>
      <c r="I38" s="76"/>
      <c r="J38" s="77"/>
      <c r="K38" s="77"/>
      <c r="L38" s="77"/>
      <c r="M38" s="170">
        <v>4877.5</v>
      </c>
      <c r="N38" s="79"/>
      <c r="O38" s="80">
        <f t="shared" si="0"/>
        <v>0</v>
      </c>
      <c r="P38" s="81" t="s">
        <v>190</v>
      </c>
      <c r="Q38" s="82" t="s">
        <v>191</v>
      </c>
      <c r="S38" s="53"/>
    </row>
    <row r="39" spans="1:19" s="1" customFormat="1" ht="35.1" customHeight="1">
      <c r="A39" s="38" t="s">
        <v>13</v>
      </c>
      <c r="B39" s="39" t="s">
        <v>25</v>
      </c>
      <c r="C39" s="40">
        <v>46097</v>
      </c>
      <c r="D39" s="41" t="s">
        <v>71</v>
      </c>
      <c r="E39" s="42">
        <v>3348</v>
      </c>
      <c r="F39" s="43" t="s">
        <v>192</v>
      </c>
      <c r="G39" s="44" t="s">
        <v>193</v>
      </c>
      <c r="H39" s="45">
        <v>2945</v>
      </c>
      <c r="I39" s="46"/>
      <c r="J39" s="47"/>
      <c r="K39" s="47"/>
      <c r="L39" s="47"/>
      <c r="M39" s="48"/>
      <c r="N39" s="49"/>
      <c r="O39" s="50">
        <f t="shared" si="0"/>
        <v>2945</v>
      </c>
      <c r="P39" s="51" t="s">
        <v>194</v>
      </c>
      <c r="Q39" s="52" t="s">
        <v>195</v>
      </c>
      <c r="S39" s="53"/>
    </row>
    <row r="40" spans="1:19" s="2" customFormat="1" ht="35.1" customHeight="1">
      <c r="A40" s="54" t="s">
        <v>13</v>
      </c>
      <c r="B40" s="55" t="s">
        <v>15</v>
      </c>
      <c r="C40" s="56">
        <v>46098</v>
      </c>
      <c r="D40" s="57" t="s">
        <v>36</v>
      </c>
      <c r="E40" s="58">
        <v>5302.8</v>
      </c>
      <c r="F40" s="59" t="s">
        <v>196</v>
      </c>
      <c r="G40" s="60" t="s">
        <v>197</v>
      </c>
      <c r="H40" s="61">
        <v>5302.8</v>
      </c>
      <c r="I40" s="62"/>
      <c r="J40" s="63"/>
      <c r="K40" s="63"/>
      <c r="L40" s="63"/>
      <c r="M40" s="64"/>
      <c r="N40" s="65"/>
      <c r="O40" s="66">
        <f t="shared" si="0"/>
        <v>5302.8</v>
      </c>
      <c r="P40" s="67" t="s">
        <v>198</v>
      </c>
      <c r="Q40" s="68" t="s">
        <v>16</v>
      </c>
      <c r="S40" s="69"/>
    </row>
    <row r="41" spans="1:19" s="1" customFormat="1" ht="35.1" customHeight="1">
      <c r="A41" s="38" t="s">
        <v>13</v>
      </c>
      <c r="B41" s="39" t="s">
        <v>25</v>
      </c>
      <c r="C41" s="40">
        <v>46099</v>
      </c>
      <c r="D41" s="41" t="s">
        <v>71</v>
      </c>
      <c r="E41" s="42">
        <v>2137</v>
      </c>
      <c r="F41" s="43" t="s">
        <v>199</v>
      </c>
      <c r="G41" s="44" t="s">
        <v>200</v>
      </c>
      <c r="H41" s="45">
        <v>1350</v>
      </c>
      <c r="I41" s="46"/>
      <c r="J41" s="47"/>
      <c r="K41" s="47"/>
      <c r="L41" s="47"/>
      <c r="M41" s="48"/>
      <c r="N41" s="49"/>
      <c r="O41" s="50">
        <f t="shared" si="0"/>
        <v>1350</v>
      </c>
      <c r="P41" s="51" t="s">
        <v>201</v>
      </c>
      <c r="Q41" s="52" t="s">
        <v>202</v>
      </c>
      <c r="S41" s="53"/>
    </row>
    <row r="42" spans="1:19" s="1" customFormat="1" ht="35.1" customHeight="1">
      <c r="A42" s="171" t="s">
        <v>13</v>
      </c>
      <c r="B42" s="172" t="s">
        <v>25</v>
      </c>
      <c r="C42" s="173">
        <v>46100</v>
      </c>
      <c r="D42" s="174" t="s">
        <v>71</v>
      </c>
      <c r="E42" s="175">
        <v>1022</v>
      </c>
      <c r="F42" s="176" t="s">
        <v>203</v>
      </c>
      <c r="G42" s="176" t="s">
        <v>204</v>
      </c>
      <c r="H42" s="177">
        <v>642</v>
      </c>
      <c r="I42" s="178"/>
      <c r="J42" s="179"/>
      <c r="K42" s="180">
        <v>642</v>
      </c>
      <c r="L42" s="179"/>
      <c r="M42" s="181"/>
      <c r="N42" s="182"/>
      <c r="O42" s="183">
        <f t="shared" si="0"/>
        <v>0</v>
      </c>
      <c r="P42" s="184" t="s">
        <v>205</v>
      </c>
      <c r="Q42" s="185" t="s">
        <v>206</v>
      </c>
      <c r="S42" s="53"/>
    </row>
    <row r="43" spans="1:19" s="3" customFormat="1" ht="35.1" customHeight="1">
      <c r="A43" s="70" t="s">
        <v>13</v>
      </c>
      <c r="B43" s="71" t="s">
        <v>105</v>
      </c>
      <c r="C43" s="72">
        <v>46100</v>
      </c>
      <c r="D43" s="73" t="s">
        <v>20</v>
      </c>
      <c r="E43" s="74">
        <v>1016.15</v>
      </c>
      <c r="F43" s="44" t="s">
        <v>207</v>
      </c>
      <c r="G43" s="44" t="s">
        <v>208</v>
      </c>
      <c r="H43" s="75">
        <v>1016.15</v>
      </c>
      <c r="I43" s="76"/>
      <c r="J43" s="77"/>
      <c r="K43" s="77"/>
      <c r="L43" s="77"/>
      <c r="M43" s="78"/>
      <c r="N43" s="79"/>
      <c r="O43" s="80">
        <f t="shared" si="0"/>
        <v>1016.15</v>
      </c>
      <c r="P43" s="252" t="s">
        <v>209</v>
      </c>
      <c r="Q43" s="82" t="s">
        <v>16</v>
      </c>
      <c r="S43" s="53"/>
    </row>
    <row r="44" spans="1:19" ht="35.1" hidden="1" customHeight="1">
      <c r="A44" s="38" t="s">
        <v>13</v>
      </c>
      <c r="B44" s="83"/>
      <c r="C44" s="84"/>
      <c r="D44" s="85"/>
      <c r="E44" s="86"/>
      <c r="F44" s="87"/>
      <c r="G44" s="85"/>
      <c r="H44" s="45">
        <v>0</v>
      </c>
      <c r="I44" s="46"/>
      <c r="J44" s="47"/>
      <c r="K44" s="47"/>
      <c r="L44" s="47"/>
      <c r="M44" s="48"/>
      <c r="N44" s="49"/>
      <c r="O44" s="50">
        <f t="shared" si="0"/>
        <v>0</v>
      </c>
      <c r="P44" s="51" t="s">
        <v>128</v>
      </c>
      <c r="Q44" s="52"/>
      <c r="S44" s="53"/>
    </row>
    <row r="45" spans="1:19" ht="35.1" hidden="1" customHeight="1">
      <c r="A45" s="38" t="s">
        <v>13</v>
      </c>
      <c r="B45" s="83"/>
      <c r="C45" s="84"/>
      <c r="D45" s="85"/>
      <c r="E45" s="86"/>
      <c r="F45" s="87"/>
      <c r="G45" s="85"/>
      <c r="H45" s="45">
        <v>0</v>
      </c>
      <c r="I45" s="46"/>
      <c r="J45" s="47"/>
      <c r="K45" s="47"/>
      <c r="L45" s="47"/>
      <c r="M45" s="48"/>
      <c r="N45" s="49"/>
      <c r="O45" s="50">
        <f t="shared" si="0"/>
        <v>0</v>
      </c>
      <c r="P45" s="51" t="s">
        <v>128</v>
      </c>
      <c r="Q45" s="52"/>
      <c r="S45" s="53"/>
    </row>
    <row r="46" spans="1:19" ht="35.1" hidden="1" customHeight="1">
      <c r="A46" s="38" t="s">
        <v>13</v>
      </c>
      <c r="B46" s="83"/>
      <c r="C46" s="84"/>
      <c r="D46" s="85"/>
      <c r="E46" s="86"/>
      <c r="F46" s="87"/>
      <c r="G46" s="85"/>
      <c r="H46" s="45">
        <v>0</v>
      </c>
      <c r="I46" s="46"/>
      <c r="J46" s="47"/>
      <c r="K46" s="47"/>
      <c r="L46" s="47"/>
      <c r="M46" s="48"/>
      <c r="N46" s="49"/>
      <c r="O46" s="50">
        <f t="shared" si="0"/>
        <v>0</v>
      </c>
      <c r="P46" s="51" t="s">
        <v>128</v>
      </c>
      <c r="Q46" s="52"/>
      <c r="S46" s="53"/>
    </row>
    <row r="47" spans="1:19" ht="35.1" hidden="1" customHeight="1">
      <c r="A47" s="38" t="s">
        <v>13</v>
      </c>
      <c r="B47" s="83"/>
      <c r="C47" s="84"/>
      <c r="D47" s="85"/>
      <c r="E47" s="86"/>
      <c r="F47" s="87"/>
      <c r="G47" s="85"/>
      <c r="H47" s="45">
        <v>0</v>
      </c>
      <c r="I47" s="46"/>
      <c r="J47" s="47"/>
      <c r="K47" s="47"/>
      <c r="L47" s="47"/>
      <c r="M47" s="48"/>
      <c r="N47" s="49"/>
      <c r="O47" s="50">
        <f t="shared" si="0"/>
        <v>0</v>
      </c>
      <c r="P47" s="51" t="s">
        <v>128</v>
      </c>
      <c r="Q47" s="52"/>
      <c r="S47" s="53"/>
    </row>
    <row r="48" spans="1:19" ht="35.1" hidden="1" customHeight="1">
      <c r="A48" s="38" t="s">
        <v>13</v>
      </c>
      <c r="B48" s="83"/>
      <c r="C48" s="84"/>
      <c r="D48" s="85"/>
      <c r="E48" s="86"/>
      <c r="F48" s="87"/>
      <c r="G48" s="85"/>
      <c r="H48" s="45">
        <v>0</v>
      </c>
      <c r="I48" s="46"/>
      <c r="J48" s="47"/>
      <c r="K48" s="47"/>
      <c r="L48" s="47"/>
      <c r="M48" s="48"/>
      <c r="N48" s="49"/>
      <c r="O48" s="50">
        <f t="shared" si="0"/>
        <v>0</v>
      </c>
      <c r="P48" s="51" t="s">
        <v>128</v>
      </c>
      <c r="Q48" s="52"/>
      <c r="S48" s="53"/>
    </row>
    <row r="49" spans="1:19" ht="35.1" hidden="1" customHeight="1">
      <c r="A49" s="38" t="s">
        <v>13</v>
      </c>
      <c r="B49" s="83"/>
      <c r="C49" s="84"/>
      <c r="D49" s="85"/>
      <c r="E49" s="86"/>
      <c r="F49" s="87"/>
      <c r="G49" s="85"/>
      <c r="H49" s="45">
        <v>0</v>
      </c>
      <c r="I49" s="46"/>
      <c r="J49" s="47"/>
      <c r="K49" s="47"/>
      <c r="L49" s="47"/>
      <c r="M49" s="48"/>
      <c r="N49" s="49"/>
      <c r="O49" s="50">
        <f t="shared" si="0"/>
        <v>0</v>
      </c>
      <c r="P49" s="51" t="s">
        <v>128</v>
      </c>
      <c r="Q49" s="52"/>
      <c r="S49" s="53"/>
    </row>
    <row r="50" spans="1:19" ht="35.1" hidden="1" customHeight="1">
      <c r="A50" s="38" t="s">
        <v>13</v>
      </c>
      <c r="B50" s="83"/>
      <c r="C50" s="84"/>
      <c r="D50" s="85"/>
      <c r="E50" s="86"/>
      <c r="F50" s="87"/>
      <c r="G50" s="85"/>
      <c r="H50" s="45">
        <v>0</v>
      </c>
      <c r="I50" s="46"/>
      <c r="J50" s="47"/>
      <c r="K50" s="47"/>
      <c r="L50" s="47"/>
      <c r="M50" s="48"/>
      <c r="N50" s="49"/>
      <c r="O50" s="50">
        <f t="shared" si="0"/>
        <v>0</v>
      </c>
      <c r="P50" s="51" t="s">
        <v>128</v>
      </c>
      <c r="Q50" s="52"/>
      <c r="S50" s="53"/>
    </row>
    <row r="51" spans="1:19" ht="35.1" hidden="1" customHeight="1">
      <c r="A51" s="38" t="s">
        <v>13</v>
      </c>
      <c r="B51" s="83"/>
      <c r="C51" s="84"/>
      <c r="D51" s="85"/>
      <c r="E51" s="86"/>
      <c r="F51" s="87"/>
      <c r="G51" s="85"/>
      <c r="H51" s="45">
        <v>0</v>
      </c>
      <c r="I51" s="46"/>
      <c r="J51" s="47"/>
      <c r="K51" s="47"/>
      <c r="L51" s="47"/>
      <c r="M51" s="48"/>
      <c r="N51" s="49"/>
      <c r="O51" s="50">
        <f t="shared" si="0"/>
        <v>0</v>
      </c>
      <c r="P51" s="51" t="s">
        <v>128</v>
      </c>
      <c r="Q51" s="52"/>
      <c r="S51" s="53"/>
    </row>
    <row r="52" spans="1:19" ht="35.1" hidden="1" customHeight="1">
      <c r="A52" s="38" t="s">
        <v>13</v>
      </c>
      <c r="B52" s="83"/>
      <c r="C52" s="84"/>
      <c r="D52" s="85"/>
      <c r="E52" s="86"/>
      <c r="F52" s="87"/>
      <c r="G52" s="85"/>
      <c r="H52" s="45">
        <v>0</v>
      </c>
      <c r="I52" s="46"/>
      <c r="J52" s="47"/>
      <c r="K52" s="47"/>
      <c r="L52" s="47"/>
      <c r="M52" s="48"/>
      <c r="N52" s="49"/>
      <c r="O52" s="50">
        <f t="shared" si="0"/>
        <v>0</v>
      </c>
      <c r="P52" s="51" t="s">
        <v>128</v>
      </c>
      <c r="Q52" s="52"/>
      <c r="S52" s="53"/>
    </row>
    <row r="53" spans="1:19" ht="35.1" hidden="1" customHeight="1">
      <c r="A53" s="38" t="s">
        <v>13</v>
      </c>
      <c r="B53" s="83"/>
      <c r="C53" s="84"/>
      <c r="D53" s="85"/>
      <c r="E53" s="86"/>
      <c r="F53" s="87"/>
      <c r="G53" s="85"/>
      <c r="H53" s="45">
        <v>0</v>
      </c>
      <c r="I53" s="46"/>
      <c r="J53" s="47"/>
      <c r="K53" s="47"/>
      <c r="L53" s="47"/>
      <c r="M53" s="48"/>
      <c r="N53" s="49"/>
      <c r="O53" s="50">
        <f t="shared" si="0"/>
        <v>0</v>
      </c>
      <c r="P53" s="51" t="s">
        <v>128</v>
      </c>
      <c r="Q53" s="52"/>
      <c r="S53" s="53"/>
    </row>
    <row r="54" spans="1:19" ht="35.1" hidden="1" customHeight="1">
      <c r="A54" s="38" t="s">
        <v>13</v>
      </c>
      <c r="B54" s="83"/>
      <c r="C54" s="84"/>
      <c r="D54" s="85"/>
      <c r="E54" s="86"/>
      <c r="F54" s="87"/>
      <c r="G54" s="85"/>
      <c r="H54" s="45">
        <v>0</v>
      </c>
      <c r="I54" s="46"/>
      <c r="J54" s="47"/>
      <c r="K54" s="47"/>
      <c r="L54" s="47"/>
      <c r="M54" s="48"/>
      <c r="N54" s="49"/>
      <c r="O54" s="50">
        <f t="shared" si="0"/>
        <v>0</v>
      </c>
      <c r="P54" s="51" t="s">
        <v>128</v>
      </c>
      <c r="Q54" s="52"/>
      <c r="S54" s="53"/>
    </row>
    <row r="55" spans="1:19" ht="35.1" hidden="1" customHeight="1">
      <c r="A55" s="38" t="s">
        <v>13</v>
      </c>
      <c r="B55" s="83"/>
      <c r="C55" s="84"/>
      <c r="D55" s="85"/>
      <c r="E55" s="86"/>
      <c r="F55" s="87"/>
      <c r="G55" s="85"/>
      <c r="H55" s="45">
        <v>0</v>
      </c>
      <c r="I55" s="46"/>
      <c r="J55" s="47"/>
      <c r="K55" s="47"/>
      <c r="L55" s="47"/>
      <c r="M55" s="48"/>
      <c r="N55" s="49"/>
      <c r="O55" s="50">
        <f t="shared" si="0"/>
        <v>0</v>
      </c>
      <c r="P55" s="51" t="s">
        <v>128</v>
      </c>
      <c r="Q55" s="52"/>
      <c r="S55" s="53"/>
    </row>
    <row r="56" spans="1:19" ht="35.1" hidden="1" customHeight="1">
      <c r="A56" s="38" t="s">
        <v>13</v>
      </c>
      <c r="B56" s="83"/>
      <c r="C56" s="84"/>
      <c r="D56" s="85"/>
      <c r="E56" s="86"/>
      <c r="F56" s="87"/>
      <c r="G56" s="85"/>
      <c r="H56" s="45">
        <v>0</v>
      </c>
      <c r="I56" s="46"/>
      <c r="J56" s="47"/>
      <c r="K56" s="47"/>
      <c r="L56" s="47"/>
      <c r="M56" s="48"/>
      <c r="N56" s="49"/>
      <c r="O56" s="50">
        <f t="shared" si="0"/>
        <v>0</v>
      </c>
      <c r="P56" s="51" t="s">
        <v>128</v>
      </c>
      <c r="Q56" s="52"/>
      <c r="S56" s="53"/>
    </row>
    <row r="57" spans="1:19" ht="35.1" hidden="1" customHeight="1">
      <c r="A57" s="38" t="s">
        <v>13</v>
      </c>
      <c r="B57" s="83"/>
      <c r="C57" s="84"/>
      <c r="D57" s="85"/>
      <c r="E57" s="86"/>
      <c r="F57" s="87"/>
      <c r="G57" s="85"/>
      <c r="H57" s="45">
        <v>0</v>
      </c>
      <c r="I57" s="46"/>
      <c r="J57" s="47"/>
      <c r="K57" s="47"/>
      <c r="L57" s="47"/>
      <c r="M57" s="48"/>
      <c r="N57" s="49"/>
      <c r="O57" s="50">
        <f t="shared" si="0"/>
        <v>0</v>
      </c>
      <c r="P57" s="51" t="s">
        <v>128</v>
      </c>
      <c r="Q57" s="52"/>
      <c r="S57" s="53"/>
    </row>
    <row r="58" spans="1:19" ht="35.1" hidden="1" customHeight="1">
      <c r="A58" s="38" t="s">
        <v>13</v>
      </c>
      <c r="B58" s="83"/>
      <c r="C58" s="84"/>
      <c r="D58" s="85"/>
      <c r="E58" s="86"/>
      <c r="F58" s="87"/>
      <c r="G58" s="85"/>
      <c r="H58" s="45">
        <v>0</v>
      </c>
      <c r="I58" s="46"/>
      <c r="J58" s="47"/>
      <c r="K58" s="47"/>
      <c r="L58" s="47"/>
      <c r="M58" s="48"/>
      <c r="N58" s="49"/>
      <c r="O58" s="50">
        <f t="shared" si="0"/>
        <v>0</v>
      </c>
      <c r="P58" s="51" t="s">
        <v>128</v>
      </c>
      <c r="Q58" s="52"/>
      <c r="S58" s="53"/>
    </row>
    <row r="59" spans="1:19" ht="35.1" hidden="1" customHeight="1">
      <c r="A59" s="38" t="s">
        <v>13</v>
      </c>
      <c r="B59" s="83"/>
      <c r="C59" s="84"/>
      <c r="D59" s="85"/>
      <c r="E59" s="86"/>
      <c r="F59" s="87"/>
      <c r="G59" s="85"/>
      <c r="H59" s="45">
        <v>0</v>
      </c>
      <c r="I59" s="46"/>
      <c r="J59" s="47"/>
      <c r="K59" s="47"/>
      <c r="L59" s="47"/>
      <c r="M59" s="48"/>
      <c r="N59" s="49"/>
      <c r="O59" s="50">
        <f t="shared" si="0"/>
        <v>0</v>
      </c>
      <c r="P59" s="51" t="s">
        <v>128</v>
      </c>
      <c r="Q59" s="52"/>
      <c r="S59" s="53"/>
    </row>
    <row r="60" spans="1:19" ht="35.1" hidden="1" customHeight="1">
      <c r="A60" s="38" t="s">
        <v>13</v>
      </c>
      <c r="B60" s="83"/>
      <c r="C60" s="84"/>
      <c r="D60" s="85"/>
      <c r="E60" s="86"/>
      <c r="F60" s="87"/>
      <c r="G60" s="85"/>
      <c r="H60" s="45">
        <v>0</v>
      </c>
      <c r="I60" s="46"/>
      <c r="J60" s="47"/>
      <c r="K60" s="47"/>
      <c r="L60" s="47"/>
      <c r="M60" s="48"/>
      <c r="N60" s="49"/>
      <c r="O60" s="50">
        <f t="shared" si="0"/>
        <v>0</v>
      </c>
      <c r="P60" s="51" t="s">
        <v>128</v>
      </c>
      <c r="Q60" s="52"/>
      <c r="S60" s="53"/>
    </row>
    <row r="61" spans="1:19" ht="35.1" hidden="1" customHeight="1">
      <c r="A61" s="38" t="s">
        <v>13</v>
      </c>
      <c r="B61" s="83"/>
      <c r="C61" s="84"/>
      <c r="D61" s="85"/>
      <c r="E61" s="86"/>
      <c r="F61" s="87"/>
      <c r="G61" s="85"/>
      <c r="H61" s="45">
        <v>0</v>
      </c>
      <c r="I61" s="46"/>
      <c r="J61" s="47"/>
      <c r="K61" s="47"/>
      <c r="L61" s="47"/>
      <c r="M61" s="48"/>
      <c r="N61" s="49"/>
      <c r="O61" s="50">
        <f t="shared" si="0"/>
        <v>0</v>
      </c>
      <c r="P61" s="51" t="s">
        <v>128</v>
      </c>
      <c r="Q61" s="52"/>
      <c r="S61" s="53"/>
    </row>
    <row r="62" spans="1:19" ht="35.1" hidden="1" customHeight="1">
      <c r="A62" s="38" t="s">
        <v>13</v>
      </c>
      <c r="B62" s="83"/>
      <c r="C62" s="84"/>
      <c r="D62" s="85"/>
      <c r="E62" s="86"/>
      <c r="F62" s="87"/>
      <c r="G62" s="85"/>
      <c r="H62" s="45">
        <v>0</v>
      </c>
      <c r="I62" s="46"/>
      <c r="J62" s="47"/>
      <c r="K62" s="47"/>
      <c r="L62" s="47"/>
      <c r="M62" s="48"/>
      <c r="N62" s="49"/>
      <c r="O62" s="50">
        <f t="shared" si="0"/>
        <v>0</v>
      </c>
      <c r="P62" s="51" t="s">
        <v>128</v>
      </c>
      <c r="Q62" s="52"/>
      <c r="S62" s="53"/>
    </row>
    <row r="63" spans="1:19" ht="35.1" hidden="1" customHeight="1">
      <c r="A63" s="38" t="s">
        <v>13</v>
      </c>
      <c r="B63" s="83"/>
      <c r="C63" s="84"/>
      <c r="D63" s="85"/>
      <c r="E63" s="86"/>
      <c r="F63" s="87"/>
      <c r="G63" s="85"/>
      <c r="H63" s="45">
        <v>0</v>
      </c>
      <c r="I63" s="46"/>
      <c r="J63" s="47"/>
      <c r="K63" s="47"/>
      <c r="L63" s="47"/>
      <c r="M63" s="48"/>
      <c r="N63" s="49"/>
      <c r="O63" s="50">
        <f t="shared" si="0"/>
        <v>0</v>
      </c>
      <c r="P63" s="51" t="s">
        <v>128</v>
      </c>
      <c r="Q63" s="52"/>
      <c r="S63" s="53"/>
    </row>
    <row r="64" spans="1:19" ht="35.1" customHeight="1">
      <c r="A64" s="38" t="s">
        <v>13</v>
      </c>
      <c r="B64" s="88" t="s">
        <v>26</v>
      </c>
      <c r="C64" s="40">
        <v>46104</v>
      </c>
      <c r="D64" s="89" t="s">
        <v>57</v>
      </c>
      <c r="E64" s="90">
        <v>2719</v>
      </c>
      <c r="F64" s="43" t="s">
        <v>210</v>
      </c>
      <c r="G64" s="43" t="s">
        <v>211</v>
      </c>
      <c r="H64" s="45">
        <v>2719</v>
      </c>
      <c r="I64" s="46"/>
      <c r="J64" s="47"/>
      <c r="K64" s="47"/>
      <c r="L64" s="47"/>
      <c r="M64" s="48"/>
      <c r="N64" s="49"/>
      <c r="O64" s="50">
        <f>+H64-J64-K64-L64-M64-N64</f>
        <v>2719</v>
      </c>
      <c r="P64" s="251" t="s">
        <v>330</v>
      </c>
      <c r="Q64" s="52" t="s">
        <v>16</v>
      </c>
      <c r="S64" s="53"/>
    </row>
    <row r="65" spans="1:20" ht="35.1" customHeight="1">
      <c r="A65" s="38" t="s">
        <v>13</v>
      </c>
      <c r="B65" s="88" t="s">
        <v>51</v>
      </c>
      <c r="C65" s="40">
        <v>46105</v>
      </c>
      <c r="D65" s="89" t="s">
        <v>52</v>
      </c>
      <c r="E65" s="90">
        <v>736</v>
      </c>
      <c r="F65" s="43" t="s">
        <v>212</v>
      </c>
      <c r="G65" s="43" t="s">
        <v>213</v>
      </c>
      <c r="H65" s="45">
        <v>185</v>
      </c>
      <c r="I65" s="46"/>
      <c r="J65" s="47"/>
      <c r="K65" s="47"/>
      <c r="L65" s="47"/>
      <c r="M65" s="48"/>
      <c r="N65" s="49"/>
      <c r="O65" s="50">
        <f t="shared" si="0"/>
        <v>185</v>
      </c>
      <c r="P65" s="251" t="s">
        <v>329</v>
      </c>
      <c r="Q65" s="91" t="s">
        <v>214</v>
      </c>
      <c r="S65" s="53"/>
    </row>
    <row r="66" spans="1:20" ht="35.1" customHeight="1">
      <c r="A66" s="38" t="s">
        <v>13</v>
      </c>
      <c r="B66" s="88" t="s">
        <v>25</v>
      </c>
      <c r="C66" s="40">
        <v>46106</v>
      </c>
      <c r="D66" s="89" t="s">
        <v>71</v>
      </c>
      <c r="E66" s="90">
        <v>2273</v>
      </c>
      <c r="F66" s="43" t="s">
        <v>215</v>
      </c>
      <c r="G66" s="43" t="s">
        <v>216</v>
      </c>
      <c r="H66" s="45">
        <v>2273</v>
      </c>
      <c r="I66" s="46"/>
      <c r="J66" s="47"/>
      <c r="K66" s="47"/>
      <c r="L66" s="47"/>
      <c r="M66" s="48"/>
      <c r="N66" s="49"/>
      <c r="O66" s="50">
        <f t="shared" si="0"/>
        <v>2273</v>
      </c>
      <c r="P66" s="51" t="s">
        <v>217</v>
      </c>
      <c r="Q66" s="52" t="s">
        <v>16</v>
      </c>
      <c r="S66" s="53"/>
    </row>
    <row r="67" spans="1:20" ht="35.1" customHeight="1">
      <c r="A67" s="38" t="s">
        <v>13</v>
      </c>
      <c r="B67" s="88" t="s">
        <v>22</v>
      </c>
      <c r="C67" s="40">
        <v>46108</v>
      </c>
      <c r="D67" s="89" t="s">
        <v>23</v>
      </c>
      <c r="E67" s="90">
        <v>870</v>
      </c>
      <c r="F67" s="43" t="s">
        <v>218</v>
      </c>
      <c r="G67" s="43" t="s">
        <v>219</v>
      </c>
      <c r="H67" s="45">
        <v>870</v>
      </c>
      <c r="I67" s="46"/>
      <c r="J67" s="47"/>
      <c r="K67" s="47"/>
      <c r="L67" s="47"/>
      <c r="M67" s="48"/>
      <c r="N67" s="49"/>
      <c r="O67" s="50">
        <f t="shared" si="0"/>
        <v>870</v>
      </c>
      <c r="P67" s="51" t="s">
        <v>220</v>
      </c>
      <c r="Q67" s="52" t="s">
        <v>16</v>
      </c>
      <c r="S67" s="53"/>
    </row>
    <row r="68" spans="1:20" ht="35.1" customHeight="1">
      <c r="A68" s="38" t="s">
        <v>13</v>
      </c>
      <c r="B68" s="88" t="s">
        <v>22</v>
      </c>
      <c r="C68" s="40">
        <v>46108</v>
      </c>
      <c r="D68" s="89" t="s">
        <v>221</v>
      </c>
      <c r="E68" s="90">
        <v>430</v>
      </c>
      <c r="F68" s="43" t="s">
        <v>222</v>
      </c>
      <c r="G68" s="43" t="s">
        <v>223</v>
      </c>
      <c r="H68" s="45">
        <v>430</v>
      </c>
      <c r="I68" s="46"/>
      <c r="J68" s="47"/>
      <c r="K68" s="145">
        <v>430</v>
      </c>
      <c r="L68" s="47"/>
      <c r="M68" s="48"/>
      <c r="N68" s="49"/>
      <c r="O68" s="50">
        <f t="shared" si="0"/>
        <v>0</v>
      </c>
      <c r="P68" s="51" t="s">
        <v>224</v>
      </c>
      <c r="Q68" s="52" t="s">
        <v>16</v>
      </c>
      <c r="S68" s="53"/>
    </row>
    <row r="69" spans="1:20" ht="35.1" customHeight="1">
      <c r="A69" s="38" t="s">
        <v>13</v>
      </c>
      <c r="B69" s="88" t="s">
        <v>25</v>
      </c>
      <c r="C69" s="40">
        <v>46108</v>
      </c>
      <c r="D69" s="89" t="s">
        <v>252</v>
      </c>
      <c r="E69" s="90">
        <v>1953</v>
      </c>
      <c r="F69" s="43" t="s">
        <v>225</v>
      </c>
      <c r="G69" s="43" t="s">
        <v>226</v>
      </c>
      <c r="H69" s="45">
        <v>1612</v>
      </c>
      <c r="I69" s="46"/>
      <c r="J69" s="47"/>
      <c r="K69" s="47"/>
      <c r="L69" s="47"/>
      <c r="M69" s="145">
        <v>1612</v>
      </c>
      <c r="N69" s="49"/>
      <c r="O69" s="50">
        <f t="shared" si="0"/>
        <v>0</v>
      </c>
      <c r="P69" s="51" t="s">
        <v>227</v>
      </c>
      <c r="Q69" s="52" t="s">
        <v>228</v>
      </c>
      <c r="S69" s="53"/>
    </row>
    <row r="70" spans="1:20" ht="35.1" customHeight="1">
      <c r="A70" s="38" t="s">
        <v>13</v>
      </c>
      <c r="B70" s="253" t="s">
        <v>31</v>
      </c>
      <c r="C70" s="40">
        <v>46109</v>
      </c>
      <c r="D70" s="89" t="s">
        <v>54</v>
      </c>
      <c r="E70" s="90">
        <v>2220</v>
      </c>
      <c r="F70" s="43" t="s">
        <v>229</v>
      </c>
      <c r="G70" s="43" t="s">
        <v>230</v>
      </c>
      <c r="H70" s="45">
        <v>1994</v>
      </c>
      <c r="I70" s="46"/>
      <c r="J70" s="47"/>
      <c r="K70" s="47"/>
      <c r="L70" s="47"/>
      <c r="M70" s="48"/>
      <c r="N70" s="49"/>
      <c r="O70" s="50">
        <f t="shared" si="0"/>
        <v>1994</v>
      </c>
      <c r="P70" s="51" t="s">
        <v>231</v>
      </c>
      <c r="Q70" s="52" t="s">
        <v>232</v>
      </c>
      <c r="S70" s="53"/>
    </row>
    <row r="71" spans="1:20" ht="35.1" customHeight="1">
      <c r="A71" s="38" t="s">
        <v>13</v>
      </c>
      <c r="B71" s="88" t="s">
        <v>25</v>
      </c>
      <c r="C71" s="40">
        <v>46111</v>
      </c>
      <c r="D71" s="89" t="s">
        <v>71</v>
      </c>
      <c r="E71" s="90">
        <v>2895</v>
      </c>
      <c r="F71" s="43" t="s">
        <v>233</v>
      </c>
      <c r="G71" s="257" t="s">
        <v>331</v>
      </c>
      <c r="H71" s="45">
        <v>2895</v>
      </c>
      <c r="I71" s="46"/>
      <c r="J71" s="47"/>
      <c r="K71" s="47"/>
      <c r="L71" s="47"/>
      <c r="M71" s="48"/>
      <c r="N71" s="49"/>
      <c r="O71" s="50">
        <f t="shared" ref="O71:O72" si="1">+H71-J71-K71-L71-M71-N71</f>
        <v>2895</v>
      </c>
      <c r="P71" s="51" t="s">
        <v>234</v>
      </c>
      <c r="Q71" s="52" t="s">
        <v>16</v>
      </c>
      <c r="S71" s="53"/>
    </row>
    <row r="72" spans="1:20" ht="35.1" customHeight="1">
      <c r="A72" s="186" t="s">
        <v>13</v>
      </c>
      <c r="B72" s="187" t="s">
        <v>236</v>
      </c>
      <c r="C72" s="188">
        <v>46112</v>
      </c>
      <c r="D72" s="189" t="s">
        <v>237</v>
      </c>
      <c r="E72" s="190">
        <v>1488</v>
      </c>
      <c r="F72" s="191" t="s">
        <v>238</v>
      </c>
      <c r="G72" s="257" t="s">
        <v>332</v>
      </c>
      <c r="H72" s="192">
        <v>1488</v>
      </c>
      <c r="I72" s="192"/>
      <c r="J72" s="193"/>
      <c r="K72" s="194"/>
      <c r="L72" s="194"/>
      <c r="M72" s="195"/>
      <c r="N72" s="194"/>
      <c r="O72" s="196">
        <f t="shared" si="1"/>
        <v>1488</v>
      </c>
      <c r="P72" s="197" t="s">
        <v>239</v>
      </c>
      <c r="Q72" s="198" t="s">
        <v>16</v>
      </c>
      <c r="R72" s="92"/>
      <c r="S72" s="247">
        <f>SUM(O6:O72)</f>
        <v>23037.949999999997</v>
      </c>
      <c r="T72" s="53"/>
    </row>
    <row r="73" spans="1:20" ht="35.1" customHeight="1">
      <c r="A73" s="199" t="s">
        <v>13</v>
      </c>
      <c r="B73" s="200" t="s">
        <v>25</v>
      </c>
      <c r="C73" s="201">
        <v>46113</v>
      </c>
      <c r="D73" s="254" t="s">
        <v>71</v>
      </c>
      <c r="E73" s="202">
        <v>1186</v>
      </c>
      <c r="F73" s="203" t="s">
        <v>253</v>
      </c>
      <c r="G73" s="216" t="s">
        <v>333</v>
      </c>
      <c r="H73" s="204"/>
      <c r="I73" s="204"/>
      <c r="J73" s="205"/>
      <c r="K73" s="206"/>
      <c r="L73" s="206"/>
      <c r="M73" s="207"/>
      <c r="N73" s="208">
        <v>313</v>
      </c>
      <c r="O73" s="209">
        <f>+E73-H73-J73-K73-L73-M73-N73</f>
        <v>873</v>
      </c>
      <c r="P73" s="210" t="s">
        <v>254</v>
      </c>
      <c r="Q73" s="211" t="s">
        <v>255</v>
      </c>
      <c r="R73" s="92"/>
      <c r="S73"/>
      <c r="T73" s="53"/>
    </row>
    <row r="74" spans="1:20" ht="35.1" customHeight="1">
      <c r="A74" s="212" t="s">
        <v>13</v>
      </c>
      <c r="B74" s="149" t="s">
        <v>25</v>
      </c>
      <c r="C74" s="213">
        <v>46118</v>
      </c>
      <c r="D74" s="256" t="s">
        <v>71</v>
      </c>
      <c r="E74" s="215">
        <v>651</v>
      </c>
      <c r="F74" s="216" t="s">
        <v>256</v>
      </c>
      <c r="G74" s="216" t="s">
        <v>334</v>
      </c>
      <c r="H74" s="45"/>
      <c r="I74" s="45"/>
      <c r="J74" s="46"/>
      <c r="K74" s="47"/>
      <c r="L74" s="47"/>
      <c r="M74" s="48"/>
      <c r="N74" s="217">
        <v>267</v>
      </c>
      <c r="O74" s="218">
        <f t="shared" ref="O74:O84" si="2">+E74-H74-J74-K74-L74-M74-N74</f>
        <v>384</v>
      </c>
      <c r="P74" s="219" t="s">
        <v>257</v>
      </c>
      <c r="Q74" s="220" t="s">
        <v>258</v>
      </c>
      <c r="R74" s="92"/>
      <c r="S74"/>
      <c r="T74" s="53"/>
    </row>
    <row r="75" spans="1:20" ht="35.1" customHeight="1">
      <c r="A75" s="212" t="s">
        <v>13</v>
      </c>
      <c r="B75" s="149" t="s">
        <v>21</v>
      </c>
      <c r="C75" s="213">
        <v>46120</v>
      </c>
      <c r="D75" s="214" t="s">
        <v>58</v>
      </c>
      <c r="E75" s="215">
        <v>2765</v>
      </c>
      <c r="F75" s="216" t="s">
        <v>259</v>
      </c>
      <c r="G75" s="216" t="s">
        <v>260</v>
      </c>
      <c r="H75" s="45"/>
      <c r="I75" s="45"/>
      <c r="J75" s="46"/>
      <c r="K75" s="47"/>
      <c r="L75" s="47"/>
      <c r="M75" s="48"/>
      <c r="N75" s="217">
        <v>2222</v>
      </c>
      <c r="O75" s="218">
        <f t="shared" si="2"/>
        <v>543</v>
      </c>
      <c r="P75" s="219" t="s">
        <v>261</v>
      </c>
      <c r="Q75" s="220" t="s">
        <v>262</v>
      </c>
      <c r="R75" s="92"/>
      <c r="S75"/>
      <c r="T75" s="53"/>
    </row>
    <row r="76" spans="1:20" ht="35.1" customHeight="1">
      <c r="A76" s="212" t="s">
        <v>13</v>
      </c>
      <c r="B76" s="255" t="s">
        <v>26</v>
      </c>
      <c r="C76" s="213">
        <v>46122</v>
      </c>
      <c r="D76" s="214" t="s">
        <v>57</v>
      </c>
      <c r="E76" s="215">
        <v>1235</v>
      </c>
      <c r="F76" s="216" t="s">
        <v>263</v>
      </c>
      <c r="G76" s="216" t="s">
        <v>264</v>
      </c>
      <c r="H76" s="45"/>
      <c r="I76" s="45"/>
      <c r="J76" s="46"/>
      <c r="K76" s="47"/>
      <c r="L76" s="47"/>
      <c r="M76" s="48"/>
      <c r="N76" s="217">
        <v>0</v>
      </c>
      <c r="O76" s="218">
        <f t="shared" si="2"/>
        <v>1235</v>
      </c>
      <c r="P76" s="219" t="s">
        <v>265</v>
      </c>
      <c r="Q76" s="220" t="s">
        <v>16</v>
      </c>
      <c r="R76" s="92"/>
      <c r="S76"/>
      <c r="T76" s="53"/>
    </row>
    <row r="77" spans="1:20" ht="35.1" customHeight="1">
      <c r="A77" s="212" t="s">
        <v>13</v>
      </c>
      <c r="B77" s="149" t="s">
        <v>25</v>
      </c>
      <c r="C77" s="213">
        <v>46122</v>
      </c>
      <c r="D77" s="214" t="s">
        <v>71</v>
      </c>
      <c r="E77" s="215">
        <v>1333</v>
      </c>
      <c r="F77" s="216" t="s">
        <v>266</v>
      </c>
      <c r="G77" s="216" t="s">
        <v>267</v>
      </c>
      <c r="H77" s="45"/>
      <c r="I77" s="45"/>
      <c r="J77" s="46"/>
      <c r="K77" s="47"/>
      <c r="L77" s="47"/>
      <c r="M77" s="48"/>
      <c r="N77" s="217">
        <v>0</v>
      </c>
      <c r="O77" s="218">
        <f t="shared" si="2"/>
        <v>1333</v>
      </c>
      <c r="P77" s="219" t="s">
        <v>268</v>
      </c>
      <c r="Q77" s="220" t="s">
        <v>16</v>
      </c>
      <c r="R77" s="92"/>
      <c r="S77"/>
      <c r="T77" s="53"/>
    </row>
    <row r="78" spans="1:20" ht="35.1" customHeight="1">
      <c r="A78" s="212" t="s">
        <v>13</v>
      </c>
      <c r="B78" s="149" t="s">
        <v>25</v>
      </c>
      <c r="C78" s="213">
        <v>46125</v>
      </c>
      <c r="D78" s="214" t="s">
        <v>71</v>
      </c>
      <c r="E78" s="215">
        <v>1018</v>
      </c>
      <c r="F78" s="216" t="s">
        <v>269</v>
      </c>
      <c r="G78" s="216" t="s">
        <v>270</v>
      </c>
      <c r="H78" s="45"/>
      <c r="I78" s="45"/>
      <c r="J78" s="46"/>
      <c r="K78" s="47"/>
      <c r="L78" s="47"/>
      <c r="M78" s="48"/>
      <c r="N78" s="217">
        <v>0</v>
      </c>
      <c r="O78" s="218">
        <f t="shared" si="2"/>
        <v>1018</v>
      </c>
      <c r="P78" s="219" t="s">
        <v>271</v>
      </c>
      <c r="Q78" s="220" t="s">
        <v>16</v>
      </c>
      <c r="R78" s="92"/>
      <c r="S78"/>
      <c r="T78" s="53"/>
    </row>
    <row r="79" spans="1:20" ht="35.1" customHeight="1">
      <c r="A79" s="212" t="s">
        <v>123</v>
      </c>
      <c r="B79" s="149" t="s">
        <v>34</v>
      </c>
      <c r="C79" s="213">
        <v>46126</v>
      </c>
      <c r="D79" s="214" t="s">
        <v>49</v>
      </c>
      <c r="E79" s="215">
        <v>10839.5</v>
      </c>
      <c r="F79" s="216" t="s">
        <v>272</v>
      </c>
      <c r="G79" s="216" t="s">
        <v>273</v>
      </c>
      <c r="H79" s="45"/>
      <c r="I79" s="45"/>
      <c r="J79" s="46"/>
      <c r="K79" s="47"/>
      <c r="L79" s="47"/>
      <c r="M79" s="48"/>
      <c r="N79" s="217">
        <v>10839.5</v>
      </c>
      <c r="O79" s="218">
        <f t="shared" si="2"/>
        <v>0</v>
      </c>
      <c r="P79" s="219" t="s">
        <v>274</v>
      </c>
      <c r="Q79" s="220" t="s">
        <v>275</v>
      </c>
      <c r="R79" s="92"/>
      <c r="S79"/>
      <c r="T79" s="53"/>
    </row>
    <row r="80" spans="1:20" ht="35.1" customHeight="1">
      <c r="A80" s="212" t="s">
        <v>13</v>
      </c>
      <c r="B80" s="149" t="s">
        <v>26</v>
      </c>
      <c r="C80" s="213">
        <v>46126</v>
      </c>
      <c r="D80" s="214" t="s">
        <v>57</v>
      </c>
      <c r="E80" s="215">
        <v>3134</v>
      </c>
      <c r="F80" s="216" t="s">
        <v>276</v>
      </c>
      <c r="G80" s="216" t="s">
        <v>277</v>
      </c>
      <c r="H80" s="45"/>
      <c r="I80" s="45"/>
      <c r="J80" s="46"/>
      <c r="K80" s="47"/>
      <c r="L80" s="47"/>
      <c r="M80" s="48"/>
      <c r="N80" s="217">
        <v>1091</v>
      </c>
      <c r="O80" s="218">
        <f t="shared" si="2"/>
        <v>2043</v>
      </c>
      <c r="P80" s="219" t="s">
        <v>278</v>
      </c>
      <c r="Q80" s="220" t="s">
        <v>279</v>
      </c>
      <c r="R80" s="92"/>
      <c r="S80"/>
      <c r="T80" s="53"/>
    </row>
    <row r="81" spans="1:23" ht="35.1" customHeight="1">
      <c r="A81" s="212" t="s">
        <v>13</v>
      </c>
      <c r="B81" s="149" t="s">
        <v>27</v>
      </c>
      <c r="C81" s="213">
        <v>46127</v>
      </c>
      <c r="D81" s="214" t="s">
        <v>53</v>
      </c>
      <c r="E81" s="215">
        <v>2137</v>
      </c>
      <c r="F81" s="216" t="s">
        <v>280</v>
      </c>
      <c r="G81" s="216" t="s">
        <v>281</v>
      </c>
      <c r="H81" s="45"/>
      <c r="I81" s="45"/>
      <c r="J81" s="46"/>
      <c r="K81" s="47"/>
      <c r="L81" s="47"/>
      <c r="M81" s="48"/>
      <c r="N81" s="217">
        <v>61.5</v>
      </c>
      <c r="O81" s="218">
        <f t="shared" si="2"/>
        <v>2075.5</v>
      </c>
      <c r="P81" s="219" t="s">
        <v>282</v>
      </c>
      <c r="Q81" s="220" t="s">
        <v>283</v>
      </c>
      <c r="R81" s="92"/>
      <c r="S81"/>
      <c r="T81" s="53"/>
      <c r="W81">
        <f>51*2</f>
        <v>102</v>
      </c>
    </row>
    <row r="82" spans="1:23" ht="35.1" customHeight="1">
      <c r="A82" s="212" t="s">
        <v>13</v>
      </c>
      <c r="B82" s="149" t="s">
        <v>19</v>
      </c>
      <c r="C82" s="213">
        <v>46128</v>
      </c>
      <c r="D82" s="214" t="s">
        <v>125</v>
      </c>
      <c r="E82" s="215">
        <v>2352</v>
      </c>
      <c r="F82" s="216" t="s">
        <v>284</v>
      </c>
      <c r="G82" s="216" t="s">
        <v>285</v>
      </c>
      <c r="H82" s="45"/>
      <c r="I82" s="45"/>
      <c r="J82" s="46"/>
      <c r="K82" s="47"/>
      <c r="L82" s="47"/>
      <c r="M82" s="48"/>
      <c r="N82" s="217"/>
      <c r="O82" s="218">
        <f t="shared" si="2"/>
        <v>2352</v>
      </c>
      <c r="P82" s="219" t="s">
        <v>286</v>
      </c>
      <c r="Q82" s="220" t="s">
        <v>16</v>
      </c>
      <c r="R82" s="92"/>
      <c r="S82"/>
      <c r="T82" s="53"/>
      <c r="W82">
        <f>25000-102</f>
        <v>24898</v>
      </c>
    </row>
    <row r="83" spans="1:23" ht="35.1" customHeight="1">
      <c r="A83" s="212" t="s">
        <v>13</v>
      </c>
      <c r="B83" s="149" t="s">
        <v>287</v>
      </c>
      <c r="C83" s="213">
        <v>46128</v>
      </c>
      <c r="D83" s="214" t="s">
        <v>288</v>
      </c>
      <c r="E83" s="215">
        <v>2059</v>
      </c>
      <c r="F83" s="216" t="s">
        <v>289</v>
      </c>
      <c r="G83" s="216" t="s">
        <v>290</v>
      </c>
      <c r="H83" s="45"/>
      <c r="I83" s="45"/>
      <c r="J83" s="46"/>
      <c r="K83" s="47"/>
      <c r="L83" s="47"/>
      <c r="M83" s="48"/>
      <c r="N83" s="217">
        <v>1094</v>
      </c>
      <c r="O83" s="218">
        <f t="shared" si="2"/>
        <v>965</v>
      </c>
      <c r="P83" s="219" t="s">
        <v>291</v>
      </c>
      <c r="Q83" s="220" t="s">
        <v>292</v>
      </c>
      <c r="R83" s="92"/>
      <c r="S83"/>
      <c r="T83" s="53"/>
    </row>
    <row r="84" spans="1:23" ht="35.1" customHeight="1">
      <c r="A84" s="212" t="s">
        <v>13</v>
      </c>
      <c r="B84" s="149" t="s">
        <v>30</v>
      </c>
      <c r="C84" s="213">
        <v>46129</v>
      </c>
      <c r="D84" s="214" t="s">
        <v>182</v>
      </c>
      <c r="E84" s="215">
        <v>2710</v>
      </c>
      <c r="F84" s="216" t="s">
        <v>293</v>
      </c>
      <c r="G84" s="216" t="s">
        <v>294</v>
      </c>
      <c r="H84" s="45"/>
      <c r="I84" s="45"/>
      <c r="J84" s="46"/>
      <c r="K84" s="47"/>
      <c r="L84" s="47"/>
      <c r="M84" s="48"/>
      <c r="N84" s="217">
        <v>669</v>
      </c>
      <c r="O84" s="218">
        <f t="shared" si="2"/>
        <v>2041</v>
      </c>
      <c r="P84" s="219" t="s">
        <v>295</v>
      </c>
      <c r="Q84" s="220" t="s">
        <v>296</v>
      </c>
      <c r="R84" s="92"/>
      <c r="S84"/>
      <c r="T84" s="53"/>
    </row>
    <row r="85" spans="1:23" ht="35.1" customHeight="1">
      <c r="A85" s="212" t="s">
        <v>13</v>
      </c>
      <c r="B85" s="149" t="s">
        <v>25</v>
      </c>
      <c r="C85" s="213">
        <v>46134</v>
      </c>
      <c r="D85" s="214" t="s">
        <v>71</v>
      </c>
      <c r="E85" s="215">
        <v>4333</v>
      </c>
      <c r="F85" s="216" t="s">
        <v>297</v>
      </c>
      <c r="G85" s="216" t="s">
        <v>298</v>
      </c>
      <c r="H85" s="45"/>
      <c r="I85" s="45"/>
      <c r="J85" s="46"/>
      <c r="K85" s="47"/>
      <c r="L85" s="47"/>
      <c r="M85" s="48"/>
      <c r="N85" s="217">
        <v>202</v>
      </c>
      <c r="O85" s="218">
        <f t="shared" ref="O85:O93" si="3">+E85-H85-J85-K85-L85-M85-N85</f>
        <v>4131</v>
      </c>
      <c r="P85" s="219" t="s">
        <v>299</v>
      </c>
      <c r="Q85" s="220" t="s">
        <v>300</v>
      </c>
      <c r="R85" s="92"/>
      <c r="S85"/>
      <c r="T85" s="53"/>
    </row>
    <row r="86" spans="1:23" ht="35.1" customHeight="1">
      <c r="A86" s="212" t="s">
        <v>13</v>
      </c>
      <c r="B86" s="149" t="s">
        <v>22</v>
      </c>
      <c r="C86" s="213">
        <v>46135</v>
      </c>
      <c r="D86" s="214" t="s">
        <v>221</v>
      </c>
      <c r="E86" s="215">
        <v>1840</v>
      </c>
      <c r="F86" s="216" t="s">
        <v>301</v>
      </c>
      <c r="G86" s="216" t="s">
        <v>302</v>
      </c>
      <c r="H86" s="45"/>
      <c r="I86" s="45"/>
      <c r="J86" s="46"/>
      <c r="K86" s="47"/>
      <c r="L86" s="47"/>
      <c r="M86" s="48"/>
      <c r="N86" s="217"/>
      <c r="O86" s="218">
        <f t="shared" si="3"/>
        <v>1840</v>
      </c>
      <c r="P86" s="219" t="s">
        <v>303</v>
      </c>
      <c r="Q86" s="220" t="s">
        <v>16</v>
      </c>
      <c r="R86" s="92"/>
      <c r="S86"/>
      <c r="T86" s="53"/>
    </row>
    <row r="87" spans="1:23" ht="35.1" customHeight="1">
      <c r="A87" s="212" t="s">
        <v>13</v>
      </c>
      <c r="B87" s="149" t="s">
        <v>22</v>
      </c>
      <c r="C87" s="213">
        <v>46135</v>
      </c>
      <c r="D87" s="214" t="s">
        <v>221</v>
      </c>
      <c r="E87" s="215">
        <v>1726</v>
      </c>
      <c r="F87" s="216" t="s">
        <v>304</v>
      </c>
      <c r="G87" s="216" t="s">
        <v>305</v>
      </c>
      <c r="H87" s="45"/>
      <c r="I87" s="45"/>
      <c r="J87" s="46"/>
      <c r="K87" s="47"/>
      <c r="L87" s="47"/>
      <c r="M87" s="48"/>
      <c r="N87" s="217"/>
      <c r="O87" s="218">
        <f t="shared" si="3"/>
        <v>1726</v>
      </c>
      <c r="P87" s="219" t="s">
        <v>306</v>
      </c>
      <c r="Q87" s="220" t="s">
        <v>16</v>
      </c>
      <c r="R87" s="92"/>
      <c r="S87"/>
      <c r="T87" s="53"/>
    </row>
    <row r="88" spans="1:23" ht="35.1" customHeight="1">
      <c r="A88" s="212" t="s">
        <v>13</v>
      </c>
      <c r="B88" s="149" t="s">
        <v>26</v>
      </c>
      <c r="C88" s="213">
        <v>46135</v>
      </c>
      <c r="D88" s="214" t="s">
        <v>57</v>
      </c>
      <c r="E88" s="215">
        <v>1203</v>
      </c>
      <c r="F88" s="216" t="s">
        <v>307</v>
      </c>
      <c r="G88" s="216" t="s">
        <v>308</v>
      </c>
      <c r="H88" s="45"/>
      <c r="I88" s="45"/>
      <c r="J88" s="46"/>
      <c r="K88" s="47"/>
      <c r="L88" s="47"/>
      <c r="M88" s="48"/>
      <c r="N88" s="217"/>
      <c r="O88" s="218">
        <f t="shared" si="3"/>
        <v>1203</v>
      </c>
      <c r="P88" s="219" t="s">
        <v>309</v>
      </c>
      <c r="Q88" s="220" t="s">
        <v>16</v>
      </c>
      <c r="R88" s="92"/>
      <c r="S88"/>
      <c r="T88" s="53"/>
    </row>
    <row r="89" spans="1:23" s="273" customFormat="1" ht="35.1" customHeight="1">
      <c r="A89" s="265" t="s">
        <v>13</v>
      </c>
      <c r="B89" s="266" t="s">
        <v>22</v>
      </c>
      <c r="C89" s="267">
        <v>46139</v>
      </c>
      <c r="D89" s="268" t="s">
        <v>221</v>
      </c>
      <c r="E89" s="269">
        <v>1600</v>
      </c>
      <c r="F89" s="270" t="s">
        <v>310</v>
      </c>
      <c r="G89" s="270" t="s">
        <v>311</v>
      </c>
      <c r="H89" s="177"/>
      <c r="I89" s="177"/>
      <c r="J89" s="178"/>
      <c r="K89" s="179"/>
      <c r="L89" s="179"/>
      <c r="M89" s="181"/>
      <c r="N89" s="246"/>
      <c r="O89" s="271">
        <f t="shared" si="3"/>
        <v>1600</v>
      </c>
      <c r="P89" s="244" t="s">
        <v>312</v>
      </c>
      <c r="Q89" s="272" t="s">
        <v>16</v>
      </c>
      <c r="R89" s="243"/>
      <c r="T89" s="274"/>
    </row>
    <row r="90" spans="1:23" ht="35.1" customHeight="1">
      <c r="A90" s="261" t="s">
        <v>13</v>
      </c>
      <c r="B90" s="233" t="s">
        <v>25</v>
      </c>
      <c r="C90" s="237">
        <v>46139</v>
      </c>
      <c r="D90" s="262" t="s">
        <v>71</v>
      </c>
      <c r="E90" s="234">
        <v>862</v>
      </c>
      <c r="F90" s="235" t="s">
        <v>313</v>
      </c>
      <c r="G90" s="235" t="s">
        <v>314</v>
      </c>
      <c r="H90" s="75"/>
      <c r="I90" s="75"/>
      <c r="J90" s="76"/>
      <c r="K90" s="77"/>
      <c r="L90" s="77"/>
      <c r="M90" s="78"/>
      <c r="N90" s="240"/>
      <c r="O90" s="263">
        <f t="shared" si="3"/>
        <v>862</v>
      </c>
      <c r="P90" s="241" t="s">
        <v>315</v>
      </c>
      <c r="Q90" s="264" t="s">
        <v>16</v>
      </c>
      <c r="R90" s="92"/>
      <c r="S90"/>
      <c r="T90" s="53"/>
    </row>
    <row r="91" spans="1:23" ht="35.1" customHeight="1">
      <c r="A91" s="54" t="s">
        <v>13</v>
      </c>
      <c r="B91" s="102" t="s">
        <v>15</v>
      </c>
      <c r="C91" s="56">
        <v>46140</v>
      </c>
      <c r="D91" s="103" t="s">
        <v>36</v>
      </c>
      <c r="E91" s="104">
        <v>8753.2000000000007</v>
      </c>
      <c r="F91" s="216" t="s">
        <v>316</v>
      </c>
      <c r="G91" s="59" t="s">
        <v>317</v>
      </c>
      <c r="H91" s="61"/>
      <c r="I91" s="61"/>
      <c r="J91" s="62"/>
      <c r="K91" s="63"/>
      <c r="L91" s="63"/>
      <c r="M91" s="64"/>
      <c r="N91" s="63"/>
      <c r="O91" s="105">
        <f t="shared" si="3"/>
        <v>8753.2000000000007</v>
      </c>
      <c r="P91" s="67" t="s">
        <v>318</v>
      </c>
      <c r="Q91" s="68" t="s">
        <v>16</v>
      </c>
      <c r="R91" s="92"/>
      <c r="S91"/>
      <c r="T91" s="53"/>
    </row>
    <row r="92" spans="1:23" ht="35.1" customHeight="1">
      <c r="A92" s="148" t="s">
        <v>32</v>
      </c>
      <c r="B92" s="149" t="s">
        <v>33</v>
      </c>
      <c r="C92" s="213">
        <v>46141</v>
      </c>
      <c r="D92" s="214" t="s">
        <v>235</v>
      </c>
      <c r="E92" s="215">
        <v>8160</v>
      </c>
      <c r="F92" s="216" t="s">
        <v>319</v>
      </c>
      <c r="G92" s="216" t="s">
        <v>320</v>
      </c>
      <c r="H92" s="45"/>
      <c r="I92" s="45"/>
      <c r="J92" s="46"/>
      <c r="K92" s="47"/>
      <c r="L92" s="47"/>
      <c r="M92" s="48"/>
      <c r="N92" s="217">
        <v>8160</v>
      </c>
      <c r="O92" s="218">
        <f t="shared" si="3"/>
        <v>0</v>
      </c>
      <c r="P92" s="219" t="s">
        <v>321</v>
      </c>
      <c r="Q92" s="220" t="s">
        <v>322</v>
      </c>
      <c r="R92" s="92"/>
      <c r="S92"/>
      <c r="T92" s="53"/>
    </row>
    <row r="93" spans="1:23" ht="35.1" customHeight="1">
      <c r="A93" s="221" t="s">
        <v>13</v>
      </c>
      <c r="B93" s="222" t="s">
        <v>25</v>
      </c>
      <c r="C93" s="223">
        <v>46141</v>
      </c>
      <c r="D93" s="224" t="s">
        <v>71</v>
      </c>
      <c r="E93" s="225">
        <v>1864</v>
      </c>
      <c r="F93" s="226" t="s">
        <v>323</v>
      </c>
      <c r="G93" s="226" t="s">
        <v>324</v>
      </c>
      <c r="H93" s="192"/>
      <c r="I93" s="192"/>
      <c r="J93" s="193"/>
      <c r="K93" s="194"/>
      <c r="L93" s="194"/>
      <c r="M93" s="195"/>
      <c r="N93" s="227">
        <v>315</v>
      </c>
      <c r="O93" s="228">
        <f t="shared" si="3"/>
        <v>1549</v>
      </c>
      <c r="P93" s="229" t="s">
        <v>325</v>
      </c>
      <c r="Q93" s="230" t="s">
        <v>326</v>
      </c>
      <c r="R93" s="92"/>
      <c r="S93" s="247">
        <f>SUM(O73:O93)</f>
        <v>36526.699999999997</v>
      </c>
      <c r="T93" s="53"/>
    </row>
    <row r="94" spans="1:23" s="1" customFormat="1" ht="28.5" customHeight="1">
      <c r="D94" s="106" t="s">
        <v>38</v>
      </c>
      <c r="E94" s="107">
        <f>SUM(E6:E72)</f>
        <v>165334.54999999996</v>
      </c>
      <c r="H94" s="108">
        <f t="shared" ref="H94:I94" si="4">SUM(H6:H84)</f>
        <v>122206.25</v>
      </c>
      <c r="I94" s="109">
        <f t="shared" si="4"/>
        <v>0</v>
      </c>
      <c r="J94" s="110">
        <f t="shared" ref="J94:N94" si="5">SUM(J6:J93)</f>
        <v>24799.5</v>
      </c>
      <c r="K94" s="110">
        <f t="shared" si="5"/>
        <v>24794</v>
      </c>
      <c r="L94" s="110">
        <f t="shared" si="5"/>
        <v>24794.9</v>
      </c>
      <c r="M94" s="110">
        <f t="shared" si="5"/>
        <v>24779.9</v>
      </c>
      <c r="N94" s="110">
        <f t="shared" si="5"/>
        <v>25234</v>
      </c>
      <c r="O94" s="111">
        <f>SUM(O39:O93)</f>
        <v>59564.649999999994</v>
      </c>
      <c r="P94" s="112"/>
      <c r="S94" s="113"/>
    </row>
    <row r="95" spans="1:23">
      <c r="B95" s="369" t="s">
        <v>327</v>
      </c>
      <c r="C95" s="386"/>
      <c r="D95" s="114"/>
      <c r="E95" s="115">
        <f>SUM(H6:H72)</f>
        <v>122206.25</v>
      </c>
      <c r="F95" s="116" t="s">
        <v>240</v>
      </c>
    </row>
    <row r="96" spans="1:23">
      <c r="B96" s="369" t="s">
        <v>243</v>
      </c>
      <c r="C96" s="386"/>
      <c r="D96" s="5" t="s">
        <v>43</v>
      </c>
      <c r="E96" s="117">
        <f>SUM(E73:E93)</f>
        <v>61760.7</v>
      </c>
      <c r="F96" s="116" t="s">
        <v>240</v>
      </c>
      <c r="H96" s="387" t="s">
        <v>241</v>
      </c>
      <c r="I96" s="387"/>
      <c r="J96" s="387"/>
      <c r="K96" s="119"/>
      <c r="L96" s="119"/>
      <c r="M96" s="118" t="s">
        <v>242</v>
      </c>
      <c r="O96" s="119"/>
      <c r="P96" s="119" t="s">
        <v>242</v>
      </c>
    </row>
    <row r="97" spans="2:16">
      <c r="B97" s="369" t="s">
        <v>39</v>
      </c>
      <c r="C97" s="369"/>
      <c r="E97" s="120">
        <f>SUM(E95:E96)</f>
        <v>183966.95</v>
      </c>
      <c r="F97" s="116" t="s">
        <v>240</v>
      </c>
    </row>
    <row r="98" spans="2:16">
      <c r="C98"/>
    </row>
    <row r="99" spans="2:16">
      <c r="C99"/>
    </row>
    <row r="100" spans="2:16">
      <c r="C100"/>
    </row>
    <row r="101" spans="2:16">
      <c r="C101"/>
      <c r="H101" s="370" t="s">
        <v>129</v>
      </c>
      <c r="I101" s="370"/>
      <c r="J101" s="370"/>
      <c r="K101" s="119"/>
      <c r="L101" s="119"/>
      <c r="M101" s="121" t="s">
        <v>40</v>
      </c>
      <c r="O101" s="119"/>
      <c r="P101" s="122" t="s">
        <v>41</v>
      </c>
    </row>
    <row r="102" spans="2:16">
      <c r="C102"/>
      <c r="H102" s="371" t="s">
        <v>244</v>
      </c>
      <c r="I102" s="371"/>
      <c r="J102" s="371"/>
      <c r="K102" s="124"/>
      <c r="L102" s="124"/>
      <c r="M102" s="123" t="s">
        <v>245</v>
      </c>
      <c r="O102" s="119"/>
      <c r="P102" s="123" t="s">
        <v>42</v>
      </c>
    </row>
    <row r="103" spans="2:16">
      <c r="C103"/>
    </row>
    <row r="107" spans="2:16" ht="15" customHeight="1">
      <c r="B107" s="125"/>
      <c r="C107" s="126"/>
      <c r="D107" s="125"/>
      <c r="E107" s="125"/>
    </row>
    <row r="108" spans="2:16" ht="15" customHeight="1">
      <c r="B108" s="125"/>
      <c r="C108" s="126"/>
      <c r="D108" s="125"/>
      <c r="E108" s="125"/>
      <c r="P108" s="127"/>
    </row>
    <row r="109" spans="2:16" ht="15" customHeight="1">
      <c r="B109" s="125"/>
      <c r="C109" s="126"/>
      <c r="D109" s="125"/>
      <c r="E109" s="125"/>
      <c r="P109" s="127"/>
    </row>
    <row r="110" spans="2:16" ht="15" customHeight="1">
      <c r="B110" s="125"/>
      <c r="C110" s="126"/>
      <c r="D110" s="125"/>
      <c r="E110" s="125"/>
      <c r="P110" s="127"/>
    </row>
    <row r="111" spans="2:16" ht="15" customHeight="1">
      <c r="B111" s="125"/>
      <c r="C111" s="126"/>
      <c r="D111" s="125"/>
      <c r="E111" s="125"/>
      <c r="P111" s="127"/>
    </row>
    <row r="112" spans="2:16" ht="15" customHeight="1">
      <c r="B112" s="125"/>
      <c r="C112" s="126"/>
      <c r="D112" s="125"/>
      <c r="E112" s="125"/>
      <c r="P112" s="127"/>
    </row>
    <row r="113" spans="2:16" ht="15" customHeight="1">
      <c r="B113" s="125"/>
      <c r="C113" s="126"/>
      <c r="D113" s="125"/>
      <c r="E113" s="125"/>
      <c r="P113" s="127"/>
    </row>
    <row r="114" spans="2:16" ht="15" customHeight="1">
      <c r="B114" s="125"/>
      <c r="C114" s="126"/>
      <c r="D114" s="125"/>
      <c r="E114" s="125"/>
      <c r="P114" s="127"/>
    </row>
    <row r="115" spans="2:16" ht="15" customHeight="1">
      <c r="B115" s="125"/>
      <c r="C115" s="126"/>
      <c r="D115" s="125"/>
      <c r="E115" s="125"/>
      <c r="P115" s="127"/>
    </row>
    <row r="116" spans="2:16" ht="15" customHeight="1">
      <c r="B116" s="125"/>
      <c r="C116" s="126"/>
      <c r="D116" s="125"/>
      <c r="E116" s="125"/>
      <c r="P116" s="127"/>
    </row>
    <row r="117" spans="2:16" ht="15" customHeight="1">
      <c r="B117" s="125"/>
      <c r="C117" s="126"/>
      <c r="D117" s="125"/>
      <c r="E117" s="125"/>
      <c r="P117" s="127"/>
    </row>
    <row r="118" spans="2:16" ht="15" customHeight="1">
      <c r="B118" s="125"/>
      <c r="C118" s="126"/>
      <c r="D118" s="125"/>
      <c r="E118" s="125"/>
      <c r="P118" s="128"/>
    </row>
    <row r="119" spans="2:16" ht="15" customHeight="1">
      <c r="B119" s="125"/>
      <c r="C119" s="126"/>
      <c r="D119" s="125"/>
      <c r="E119" s="125"/>
      <c r="P119" s="128"/>
    </row>
    <row r="120" spans="2:16" ht="15" customHeight="1">
      <c r="B120" s="125"/>
      <c r="C120" s="126"/>
      <c r="D120" s="125"/>
      <c r="E120" s="125"/>
      <c r="P120" s="128"/>
    </row>
    <row r="121" spans="2:16" ht="15" customHeight="1">
      <c r="B121" s="125"/>
      <c r="C121" s="126"/>
      <c r="D121" s="125"/>
      <c r="E121" s="125"/>
      <c r="P121" s="128"/>
    </row>
    <row r="122" spans="2:16" ht="15" customHeight="1">
      <c r="B122" s="125"/>
      <c r="C122" s="126"/>
      <c r="D122" s="125"/>
      <c r="E122" s="125"/>
      <c r="P122" s="128"/>
    </row>
    <row r="123" spans="2:16" ht="15" customHeight="1">
      <c r="B123" s="125"/>
      <c r="C123" s="126"/>
      <c r="D123" s="125"/>
      <c r="E123" s="125"/>
      <c r="P123" s="128"/>
    </row>
    <row r="124" spans="2:16" ht="15" customHeight="1">
      <c r="B124" s="125"/>
      <c r="C124" s="126"/>
      <c r="D124" s="125"/>
      <c r="E124" s="125"/>
      <c r="P124" s="128"/>
    </row>
    <row r="125" spans="2:16" ht="15" customHeight="1">
      <c r="B125" s="125"/>
      <c r="C125" s="126"/>
      <c r="D125" s="125"/>
      <c r="E125" s="125"/>
      <c r="P125" s="128"/>
    </row>
    <row r="126" spans="2:16" ht="15" customHeight="1">
      <c r="B126" s="125"/>
      <c r="C126" s="126"/>
      <c r="D126" s="125"/>
      <c r="E126" s="125"/>
      <c r="P126" s="128"/>
    </row>
    <row r="127" spans="2:16" ht="15" customHeight="1">
      <c r="B127" s="125"/>
      <c r="C127" s="126"/>
      <c r="D127" s="125"/>
      <c r="E127" s="125"/>
      <c r="P127" s="128"/>
    </row>
    <row r="128" spans="2:16">
      <c r="E128" s="129"/>
      <c r="P128" s="128"/>
    </row>
    <row r="129" spans="5:16">
      <c r="E129" s="129"/>
      <c r="P129" s="128"/>
    </row>
    <row r="130" spans="5:16">
      <c r="E130" s="129"/>
      <c r="P130" s="130"/>
    </row>
    <row r="131" spans="5:16">
      <c r="E131" s="129"/>
      <c r="P131" s="130"/>
    </row>
    <row r="132" spans="5:16">
      <c r="E132" s="129"/>
      <c r="P132" s="130"/>
    </row>
    <row r="133" spans="5:16">
      <c r="E133" s="129"/>
      <c r="P133" s="130"/>
    </row>
    <row r="134" spans="5:16">
      <c r="E134" s="129"/>
      <c r="P134" s="130"/>
    </row>
    <row r="135" spans="5:16">
      <c r="E135" s="129"/>
      <c r="P135" s="130"/>
    </row>
    <row r="136" spans="5:16">
      <c r="E136" s="129"/>
      <c r="P136" s="130"/>
    </row>
    <row r="137" spans="5:16">
      <c r="E137" s="129"/>
      <c r="P137" s="130"/>
    </row>
    <row r="138" spans="5:16">
      <c r="E138" s="129"/>
      <c r="P138" s="130"/>
    </row>
    <row r="139" spans="5:16">
      <c r="E139" s="129"/>
      <c r="P139" s="130"/>
    </row>
    <row r="140" spans="5:16">
      <c r="E140" s="129"/>
      <c r="P140" s="130"/>
    </row>
    <row r="141" spans="5:16">
      <c r="E141" s="129"/>
      <c r="P141" s="130"/>
    </row>
    <row r="142" spans="5:16">
      <c r="E142" s="129"/>
      <c r="P142" s="130"/>
    </row>
    <row r="143" spans="5:16">
      <c r="E143" s="129"/>
      <c r="P143" s="130"/>
    </row>
    <row r="144" spans="5:16">
      <c r="E144" s="129"/>
      <c r="P144" s="130"/>
    </row>
    <row r="145" spans="16:16">
      <c r="P145" s="130"/>
    </row>
    <row r="146" spans="16:16">
      <c r="P146" s="130"/>
    </row>
    <row r="147" spans="16:16">
      <c r="P147" s="130"/>
    </row>
    <row r="148" spans="16:16">
      <c r="P148" s="130"/>
    </row>
  </sheetData>
  <mergeCells count="9">
    <mergeCell ref="H101:J101"/>
    <mergeCell ref="H102:J102"/>
    <mergeCell ref="A1:G3"/>
    <mergeCell ref="P2:Q3"/>
    <mergeCell ref="H1:Q1"/>
    <mergeCell ref="B95:C95"/>
    <mergeCell ref="B96:C96"/>
    <mergeCell ref="H96:J96"/>
    <mergeCell ref="B97:C97"/>
  </mergeCells>
  <phoneticPr fontId="35" type="noConversion"/>
  <printOptions horizontalCentered="1"/>
  <pageMargins left="7.8740157480315001E-2" right="7.8740157480315001E-2" top="0.39370078740157499" bottom="7.8740157480315001E-2" header="0.31496062992126" footer="0.31496062992126"/>
  <pageSetup paperSize="9" scale="46" fitToHeight="0" orientation="landscape" r:id="rId1"/>
  <rowBreaks count="1" manualBreakCount="1">
    <brk id="37" max="16" man="1"/>
  </rowBreaks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9CEE18-6EBC-427D-BF17-02C0966B120A}">
  <sheetPr>
    <pageSetUpPr fitToPage="1"/>
  </sheetPr>
  <dimension ref="A1:T98"/>
  <sheetViews>
    <sheetView tabSelected="1" zoomScale="85" zoomScaleNormal="85" zoomScaleSheetLayoutView="66" workbookViewId="0">
      <pane xSplit="3" ySplit="5" topLeftCell="D12" activePane="bottomRight" state="frozen"/>
      <selection pane="topRight"/>
      <selection pane="bottomLeft"/>
      <selection pane="bottomRight" activeCell="T20" sqref="T20"/>
    </sheetView>
  </sheetViews>
  <sheetFormatPr defaultColWidth="9" defaultRowHeight="15"/>
  <cols>
    <col min="1" max="1" width="10.85546875" customWidth="1"/>
    <col min="2" max="2" width="50.28515625" customWidth="1"/>
    <col min="3" max="3" width="16.28515625" style="4" customWidth="1"/>
    <col min="4" max="4" width="30" style="5" customWidth="1"/>
    <col min="5" max="5" width="18.140625" customWidth="1"/>
    <col min="6" max="6" width="19" customWidth="1"/>
    <col min="7" max="7" width="29" customWidth="1"/>
    <col min="8" max="8" width="16" customWidth="1"/>
    <col min="9" max="9" width="13.7109375" hidden="1" customWidth="1"/>
    <col min="10" max="10" width="14.85546875" customWidth="1"/>
    <col min="11" max="13" width="14.42578125" hidden="1" customWidth="1"/>
    <col min="14" max="14" width="14.5703125" customWidth="1"/>
    <col min="15" max="15" width="20.28515625" customWidth="1"/>
    <col min="16" max="16" width="23.85546875" customWidth="1"/>
    <col min="17" max="17" width="11.140625" customWidth="1"/>
    <col min="20" max="20" width="12.85546875" bestFit="1" customWidth="1"/>
  </cols>
  <sheetData>
    <row r="1" spans="1:17" ht="33.75" customHeight="1">
      <c r="A1" s="372" t="s">
        <v>415</v>
      </c>
      <c r="B1" s="373"/>
      <c r="C1" s="373"/>
      <c r="D1" s="373"/>
      <c r="E1" s="373"/>
      <c r="F1" s="373"/>
      <c r="G1" s="373"/>
      <c r="H1" s="378"/>
      <c r="I1" s="379"/>
      <c r="J1" s="379"/>
      <c r="K1" s="379"/>
      <c r="L1" s="379"/>
      <c r="M1" s="379"/>
      <c r="N1" s="379"/>
      <c r="O1" s="379"/>
      <c r="P1" s="379"/>
      <c r="Q1" s="380"/>
    </row>
    <row r="2" spans="1:17" ht="27.6" customHeight="1">
      <c r="A2" s="374"/>
      <c r="B2" s="375"/>
      <c r="C2" s="375"/>
      <c r="D2" s="375"/>
      <c r="E2" s="375"/>
      <c r="F2" s="375"/>
      <c r="G2" s="375"/>
      <c r="H2" s="7" t="s">
        <v>247</v>
      </c>
      <c r="I2" s="8"/>
      <c r="J2" s="9" t="s">
        <v>45</v>
      </c>
      <c r="K2" s="9"/>
      <c r="L2" s="9"/>
      <c r="M2" s="9"/>
      <c r="N2" s="10"/>
      <c r="O2" s="11"/>
      <c r="P2" s="381" t="s">
        <v>413</v>
      </c>
      <c r="Q2" s="382"/>
    </row>
    <row r="3" spans="1:17" ht="23.25" customHeight="1">
      <c r="A3" s="376"/>
      <c r="B3" s="377"/>
      <c r="C3" s="377"/>
      <c r="D3" s="377"/>
      <c r="E3" s="377"/>
      <c r="F3" s="377"/>
      <c r="G3" s="377"/>
      <c r="H3" s="12" t="s">
        <v>46</v>
      </c>
      <c r="I3" s="13"/>
      <c r="J3" s="14" t="s">
        <v>412</v>
      </c>
      <c r="K3" s="14"/>
      <c r="L3" s="14"/>
      <c r="M3" s="14"/>
      <c r="N3" s="15"/>
      <c r="O3" s="16"/>
      <c r="P3" s="383"/>
      <c r="Q3" s="384"/>
    </row>
    <row r="4" spans="1:17" ht="40.5" customHeight="1">
      <c r="A4" s="17" t="s">
        <v>0</v>
      </c>
      <c r="B4" s="18" t="s">
        <v>1</v>
      </c>
      <c r="C4" s="19" t="s">
        <v>2</v>
      </c>
      <c r="D4" s="20" t="s">
        <v>3</v>
      </c>
      <c r="E4" s="21" t="s">
        <v>4</v>
      </c>
      <c r="F4" s="18" t="s">
        <v>5</v>
      </c>
      <c r="G4" s="18" t="s">
        <v>6</v>
      </c>
      <c r="H4" s="18" t="s">
        <v>7</v>
      </c>
      <c r="I4" s="22" t="s">
        <v>8</v>
      </c>
      <c r="J4" s="23" t="s">
        <v>430</v>
      </c>
      <c r="K4" s="24" t="s">
        <v>371</v>
      </c>
      <c r="L4" s="24" t="s">
        <v>372</v>
      </c>
      <c r="M4" s="24" t="s">
        <v>56</v>
      </c>
      <c r="N4" s="18" t="s">
        <v>9</v>
      </c>
      <c r="O4" s="18" t="s">
        <v>10</v>
      </c>
      <c r="P4" s="18" t="s">
        <v>11</v>
      </c>
      <c r="Q4" s="25" t="s">
        <v>12</v>
      </c>
    </row>
    <row r="5" spans="1:17" hidden="1">
      <c r="A5" s="26"/>
      <c r="B5" s="27"/>
      <c r="C5" s="28"/>
      <c r="D5" s="29"/>
      <c r="E5" s="30"/>
      <c r="F5" s="31"/>
      <c r="G5" s="32"/>
      <c r="H5" s="33"/>
      <c r="I5" s="30"/>
      <c r="J5" s="30"/>
      <c r="K5" s="30"/>
      <c r="L5" s="30"/>
      <c r="M5" s="30"/>
      <c r="N5" s="34"/>
      <c r="O5" s="35"/>
      <c r="P5" s="36"/>
      <c r="Q5" s="37"/>
    </row>
    <row r="6" spans="1:17" ht="35.1" customHeight="1">
      <c r="A6" s="93" t="s">
        <v>13</v>
      </c>
      <c r="B6" s="284" t="s">
        <v>25</v>
      </c>
      <c r="C6" s="134">
        <v>46160</v>
      </c>
      <c r="D6" s="285" t="s">
        <v>71</v>
      </c>
      <c r="E6" s="286">
        <v>1663</v>
      </c>
      <c r="F6" s="137" t="s">
        <v>336</v>
      </c>
      <c r="G6" s="137" t="s">
        <v>337</v>
      </c>
      <c r="H6" s="94">
        <v>1645.5</v>
      </c>
      <c r="I6" s="287"/>
      <c r="J6" s="101">
        <v>1645.5</v>
      </c>
      <c r="K6" s="96"/>
      <c r="L6" s="96"/>
      <c r="M6" s="96"/>
      <c r="N6" s="96"/>
      <c r="O6" s="98">
        <f>+H6-J6-K6-L6-M6-N6</f>
        <v>0</v>
      </c>
      <c r="P6" s="99" t="s">
        <v>377</v>
      </c>
      <c r="Q6" s="100" t="s">
        <v>338</v>
      </c>
    </row>
    <row r="7" spans="1:17" ht="35.1" customHeight="1">
      <c r="A7" s="93" t="s">
        <v>13</v>
      </c>
      <c r="B7" s="289" t="s">
        <v>26</v>
      </c>
      <c r="C7" s="291">
        <v>46160</v>
      </c>
      <c r="D7" s="290" t="s">
        <v>57</v>
      </c>
      <c r="E7" s="292">
        <v>3654</v>
      </c>
      <c r="F7" s="137" t="s">
        <v>339</v>
      </c>
      <c r="G7" s="137" t="s">
        <v>340</v>
      </c>
      <c r="H7" s="94">
        <v>3654</v>
      </c>
      <c r="I7" s="287"/>
      <c r="J7" s="101">
        <v>3654</v>
      </c>
      <c r="K7" s="96"/>
      <c r="L7" s="96"/>
      <c r="M7" s="96"/>
      <c r="N7" s="96"/>
      <c r="O7" s="98">
        <f t="shared" ref="O7:O21" si="0">+H7-J7-K7-L7-M7-N7</f>
        <v>0</v>
      </c>
      <c r="P7" s="99" t="s">
        <v>411</v>
      </c>
      <c r="Q7" s="100" t="s">
        <v>16</v>
      </c>
    </row>
    <row r="8" spans="1:17" ht="35.1" customHeight="1">
      <c r="A8" s="93" t="s">
        <v>13</v>
      </c>
      <c r="B8" s="289" t="s">
        <v>37</v>
      </c>
      <c r="C8" s="291">
        <v>46157</v>
      </c>
      <c r="D8" s="290" t="s">
        <v>341</v>
      </c>
      <c r="E8" s="292">
        <v>9758.5</v>
      </c>
      <c r="F8" s="137" t="s">
        <v>342</v>
      </c>
      <c r="G8" s="137" t="s">
        <v>343</v>
      </c>
      <c r="H8" s="94">
        <v>9457</v>
      </c>
      <c r="I8" s="287"/>
      <c r="J8" s="101">
        <v>9457</v>
      </c>
      <c r="K8" s="96"/>
      <c r="L8" s="96"/>
      <c r="M8" s="96"/>
      <c r="N8" s="96"/>
      <c r="O8" s="98">
        <f t="shared" si="0"/>
        <v>0</v>
      </c>
      <c r="P8" s="99" t="s">
        <v>364</v>
      </c>
      <c r="Q8" s="100" t="s">
        <v>363</v>
      </c>
    </row>
    <row r="9" spans="1:17" ht="35.1" customHeight="1">
      <c r="A9" s="93" t="s">
        <v>13</v>
      </c>
      <c r="B9" s="284" t="s">
        <v>344</v>
      </c>
      <c r="C9" s="134">
        <v>46160</v>
      </c>
      <c r="D9" s="285" t="s">
        <v>345</v>
      </c>
      <c r="E9" s="286">
        <v>143.5</v>
      </c>
      <c r="F9" s="137" t="s">
        <v>346</v>
      </c>
      <c r="G9" s="137" t="s">
        <v>365</v>
      </c>
      <c r="H9" s="94">
        <v>36.5</v>
      </c>
      <c r="I9" s="287"/>
      <c r="J9" s="101">
        <v>36.5</v>
      </c>
      <c r="K9" s="96"/>
      <c r="L9" s="96"/>
      <c r="M9" s="96"/>
      <c r="N9" s="96"/>
      <c r="O9" s="98">
        <f t="shared" si="0"/>
        <v>0</v>
      </c>
      <c r="P9" s="99" t="s">
        <v>366</v>
      </c>
      <c r="Q9" s="100" t="s">
        <v>367</v>
      </c>
    </row>
    <row r="10" spans="1:17" ht="35.1" customHeight="1">
      <c r="A10" s="93" t="s">
        <v>13</v>
      </c>
      <c r="B10" s="284" t="s">
        <v>35</v>
      </c>
      <c r="C10" s="134">
        <v>46163</v>
      </c>
      <c r="D10" s="285" t="s">
        <v>347</v>
      </c>
      <c r="E10" s="286">
        <v>1751.05</v>
      </c>
      <c r="F10" s="137" t="s">
        <v>348</v>
      </c>
      <c r="G10" s="137" t="s">
        <v>349</v>
      </c>
      <c r="H10" s="94">
        <v>1656.1</v>
      </c>
      <c r="I10" s="287"/>
      <c r="J10" s="101">
        <v>1656.1</v>
      </c>
      <c r="K10" s="96"/>
      <c r="L10" s="96"/>
      <c r="M10" s="96"/>
      <c r="N10" s="96"/>
      <c r="O10" s="98">
        <f t="shared" si="0"/>
        <v>0</v>
      </c>
      <c r="P10" s="99" t="s">
        <v>362</v>
      </c>
      <c r="Q10" s="100" t="s">
        <v>361</v>
      </c>
    </row>
    <row r="11" spans="1:17" s="260" customFormat="1" ht="35.1" customHeight="1">
      <c r="A11" s="93" t="s">
        <v>13</v>
      </c>
      <c r="B11" s="284" t="s">
        <v>22</v>
      </c>
      <c r="C11" s="134">
        <v>46163</v>
      </c>
      <c r="D11" s="285" t="s">
        <v>350</v>
      </c>
      <c r="E11" s="286">
        <v>2500</v>
      </c>
      <c r="F11" s="137" t="s">
        <v>351</v>
      </c>
      <c r="G11" s="137" t="s">
        <v>352</v>
      </c>
      <c r="H11" s="94">
        <v>2500</v>
      </c>
      <c r="I11" s="287"/>
      <c r="J11" s="101">
        <v>2500</v>
      </c>
      <c r="K11" s="96"/>
      <c r="L11" s="96"/>
      <c r="M11" s="96"/>
      <c r="N11" s="96"/>
      <c r="O11" s="98">
        <f t="shared" si="0"/>
        <v>0</v>
      </c>
      <c r="P11" s="99" t="s">
        <v>368</v>
      </c>
      <c r="Q11" s="288" t="s">
        <v>16</v>
      </c>
    </row>
    <row r="12" spans="1:17" s="260" customFormat="1" ht="35.1" customHeight="1">
      <c r="A12" s="93" t="s">
        <v>13</v>
      </c>
      <c r="B12" s="284" t="s">
        <v>353</v>
      </c>
      <c r="C12" s="134">
        <v>46162</v>
      </c>
      <c r="D12" s="285" t="s">
        <v>187</v>
      </c>
      <c r="E12" s="286">
        <v>3929.5</v>
      </c>
      <c r="F12" s="137" t="s">
        <v>354</v>
      </c>
      <c r="G12" s="137" t="s">
        <v>355</v>
      </c>
      <c r="H12" s="94">
        <v>3424</v>
      </c>
      <c r="I12" s="287"/>
      <c r="J12" s="101">
        <v>3424</v>
      </c>
      <c r="K12" s="96"/>
      <c r="L12" s="96"/>
      <c r="M12" s="96"/>
      <c r="N12" s="96"/>
      <c r="O12" s="98">
        <f t="shared" si="0"/>
        <v>0</v>
      </c>
      <c r="P12" s="99" t="s">
        <v>359</v>
      </c>
      <c r="Q12" s="288" t="s">
        <v>360</v>
      </c>
    </row>
    <row r="13" spans="1:17" s="260" customFormat="1" ht="35.1" customHeight="1">
      <c r="A13" s="93" t="s">
        <v>13</v>
      </c>
      <c r="B13" s="284" t="s">
        <v>31</v>
      </c>
      <c r="C13" s="134">
        <v>46165</v>
      </c>
      <c r="D13" s="285" t="s">
        <v>54</v>
      </c>
      <c r="E13" s="286">
        <v>600</v>
      </c>
      <c r="F13" s="137" t="s">
        <v>357</v>
      </c>
      <c r="G13" s="137" t="s">
        <v>431</v>
      </c>
      <c r="H13" s="94">
        <v>60</v>
      </c>
      <c r="I13" s="287"/>
      <c r="J13" s="101">
        <v>60</v>
      </c>
      <c r="K13" s="96"/>
      <c r="L13" s="96"/>
      <c r="M13" s="96"/>
      <c r="N13" s="96"/>
      <c r="O13" s="98">
        <f t="shared" si="0"/>
        <v>0</v>
      </c>
      <c r="P13" s="99" t="s">
        <v>370</v>
      </c>
      <c r="Q13" s="288" t="s">
        <v>369</v>
      </c>
    </row>
    <row r="14" spans="1:17" s="260" customFormat="1" ht="35.1" customHeight="1">
      <c r="A14" s="302" t="s">
        <v>13</v>
      </c>
      <c r="B14" s="303" t="s">
        <v>25</v>
      </c>
      <c r="C14" s="72">
        <v>46175</v>
      </c>
      <c r="D14" s="304" t="s">
        <v>71</v>
      </c>
      <c r="E14" s="305">
        <v>3510</v>
      </c>
      <c r="F14" s="51" t="s">
        <v>378</v>
      </c>
      <c r="G14" s="143" t="s">
        <v>386</v>
      </c>
      <c r="H14" s="249">
        <v>3510</v>
      </c>
      <c r="I14" s="306"/>
      <c r="J14" s="316"/>
      <c r="K14" s="307"/>
      <c r="L14" s="307"/>
      <c r="M14" s="308"/>
      <c r="N14" s="307"/>
      <c r="O14" s="309">
        <f t="shared" si="0"/>
        <v>3510</v>
      </c>
      <c r="P14" s="51" t="s">
        <v>390</v>
      </c>
      <c r="Q14" s="310" t="s">
        <v>16</v>
      </c>
    </row>
    <row r="15" spans="1:17" s="260" customFormat="1" ht="35.1" customHeight="1">
      <c r="A15" s="70" t="s">
        <v>13</v>
      </c>
      <c r="B15" s="151" t="s">
        <v>19</v>
      </c>
      <c r="C15" s="72">
        <v>46176</v>
      </c>
      <c r="D15" s="311" t="s">
        <v>125</v>
      </c>
      <c r="E15" s="90">
        <v>1787</v>
      </c>
      <c r="F15" s="44" t="s">
        <v>379</v>
      </c>
      <c r="G15" s="43" t="s">
        <v>387</v>
      </c>
      <c r="H15" s="45">
        <v>1787</v>
      </c>
      <c r="I15" s="45"/>
      <c r="J15" s="317"/>
      <c r="K15" s="47"/>
      <c r="L15" s="47"/>
      <c r="M15" s="48"/>
      <c r="N15" s="47"/>
      <c r="O15" s="301">
        <f t="shared" si="0"/>
        <v>1787</v>
      </c>
      <c r="P15" s="51" t="s">
        <v>391</v>
      </c>
      <c r="Q15" s="312" t="s">
        <v>16</v>
      </c>
    </row>
    <row r="16" spans="1:17" s="260" customFormat="1" ht="35.1" customHeight="1">
      <c r="A16" s="70" t="s">
        <v>13</v>
      </c>
      <c r="B16" s="88" t="s">
        <v>22</v>
      </c>
      <c r="C16" s="40">
        <v>46178</v>
      </c>
      <c r="D16" s="311" t="s">
        <v>388</v>
      </c>
      <c r="E16" s="90">
        <v>1100</v>
      </c>
      <c r="F16" s="44" t="s">
        <v>380</v>
      </c>
      <c r="G16" s="43" t="s">
        <v>389</v>
      </c>
      <c r="H16" s="45">
        <v>1100</v>
      </c>
      <c r="I16" s="45"/>
      <c r="J16" s="317"/>
      <c r="K16" s="47"/>
      <c r="L16" s="47"/>
      <c r="M16" s="48"/>
      <c r="N16" s="47"/>
      <c r="O16" s="301">
        <f t="shared" si="0"/>
        <v>1100</v>
      </c>
      <c r="P16" s="51" t="s">
        <v>403</v>
      </c>
      <c r="Q16" s="312" t="s">
        <v>16</v>
      </c>
    </row>
    <row r="17" spans="1:18" s="260" customFormat="1" ht="35.1" customHeight="1">
      <c r="A17" s="150" t="s">
        <v>13</v>
      </c>
      <c r="B17" s="151" t="s">
        <v>25</v>
      </c>
      <c r="C17" s="152">
        <v>46178</v>
      </c>
      <c r="D17" s="311" t="s">
        <v>71</v>
      </c>
      <c r="E17" s="154">
        <v>1450</v>
      </c>
      <c r="F17" s="155" t="s">
        <v>381</v>
      </c>
      <c r="G17" s="155" t="s">
        <v>392</v>
      </c>
      <c r="H17" s="248">
        <v>1137</v>
      </c>
      <c r="I17" s="248"/>
      <c r="J17" s="318"/>
      <c r="K17" s="308"/>
      <c r="L17" s="308"/>
      <c r="M17" s="314"/>
      <c r="N17" s="308"/>
      <c r="O17" s="313">
        <f t="shared" si="0"/>
        <v>1137</v>
      </c>
      <c r="P17" s="250" t="s">
        <v>404</v>
      </c>
      <c r="Q17" s="312" t="s">
        <v>394</v>
      </c>
    </row>
    <row r="18" spans="1:18" s="260" customFormat="1" ht="35.1" customHeight="1">
      <c r="A18" s="38" t="s">
        <v>13</v>
      </c>
      <c r="B18" s="88" t="s">
        <v>31</v>
      </c>
      <c r="C18" s="40">
        <v>46179</v>
      </c>
      <c r="D18" s="89" t="s">
        <v>356</v>
      </c>
      <c r="E18" s="90">
        <v>864</v>
      </c>
      <c r="F18" s="43" t="s">
        <v>382</v>
      </c>
      <c r="G18" s="43" t="s">
        <v>393</v>
      </c>
      <c r="H18" s="45">
        <v>268.5</v>
      </c>
      <c r="I18" s="45"/>
      <c r="J18" s="319">
        <v>268.5</v>
      </c>
      <c r="K18" s="47"/>
      <c r="L18" s="47"/>
      <c r="M18" s="48"/>
      <c r="N18" s="47"/>
      <c r="O18" s="301">
        <f t="shared" si="0"/>
        <v>0</v>
      </c>
      <c r="P18" s="51" t="s">
        <v>405</v>
      </c>
      <c r="Q18" s="315" t="s">
        <v>395</v>
      </c>
    </row>
    <row r="19" spans="1:18" s="260" customFormat="1" ht="35.1" customHeight="1">
      <c r="A19" s="70" t="s">
        <v>13</v>
      </c>
      <c r="B19" s="88" t="s">
        <v>21</v>
      </c>
      <c r="C19" s="40">
        <v>46181</v>
      </c>
      <c r="D19" s="311" t="s">
        <v>335</v>
      </c>
      <c r="E19" s="90">
        <v>1300</v>
      </c>
      <c r="F19" s="44" t="s">
        <v>383</v>
      </c>
      <c r="G19" s="43" t="s">
        <v>396</v>
      </c>
      <c r="H19" s="45">
        <v>102</v>
      </c>
      <c r="I19" s="45"/>
      <c r="J19" s="317"/>
      <c r="K19" s="47"/>
      <c r="L19" s="47"/>
      <c r="M19" s="48"/>
      <c r="N19" s="47"/>
      <c r="O19" s="301">
        <f t="shared" si="0"/>
        <v>102</v>
      </c>
      <c r="P19" s="51" t="s">
        <v>406</v>
      </c>
      <c r="Q19" s="312" t="s">
        <v>397</v>
      </c>
    </row>
    <row r="20" spans="1:18" s="260" customFormat="1" ht="35.1" customHeight="1">
      <c r="A20" s="70" t="s">
        <v>13</v>
      </c>
      <c r="B20" s="151" t="s">
        <v>25</v>
      </c>
      <c r="C20" s="40">
        <v>46181</v>
      </c>
      <c r="D20" s="311" t="s">
        <v>71</v>
      </c>
      <c r="E20" s="90">
        <v>1082</v>
      </c>
      <c r="F20" s="44" t="s">
        <v>384</v>
      </c>
      <c r="G20" s="43" t="s">
        <v>398</v>
      </c>
      <c r="H20" s="45">
        <v>1082</v>
      </c>
      <c r="I20" s="45"/>
      <c r="J20" s="46"/>
      <c r="K20" s="47"/>
      <c r="L20" s="47"/>
      <c r="M20" s="48"/>
      <c r="N20" s="47"/>
      <c r="O20" s="301">
        <f t="shared" si="0"/>
        <v>1082</v>
      </c>
      <c r="P20" s="51" t="s">
        <v>407</v>
      </c>
      <c r="Q20" s="312" t="s">
        <v>16</v>
      </c>
    </row>
    <row r="21" spans="1:18" s="260" customFormat="1" ht="35.1" customHeight="1" thickBot="1">
      <c r="A21" s="70" t="s">
        <v>13</v>
      </c>
      <c r="B21" s="88" t="s">
        <v>353</v>
      </c>
      <c r="C21" s="40">
        <v>46184</v>
      </c>
      <c r="D21" s="311" t="s">
        <v>399</v>
      </c>
      <c r="E21" s="90">
        <v>3801.5</v>
      </c>
      <c r="F21" s="44" t="s">
        <v>385</v>
      </c>
      <c r="G21" s="43" t="s">
        <v>400</v>
      </c>
      <c r="H21" s="45">
        <v>2173</v>
      </c>
      <c r="I21" s="45"/>
      <c r="J21" s="319">
        <v>2173</v>
      </c>
      <c r="K21" s="47"/>
      <c r="L21" s="47"/>
      <c r="M21" s="48"/>
      <c r="N21" s="47"/>
      <c r="O21" s="301">
        <f t="shared" si="0"/>
        <v>0</v>
      </c>
      <c r="P21" s="51" t="s">
        <v>408</v>
      </c>
      <c r="Q21" s="312" t="s">
        <v>401</v>
      </c>
    </row>
    <row r="22" spans="1:18" s="320" customFormat="1" ht="35.1" customHeight="1" thickTop="1">
      <c r="A22" s="199" t="s">
        <v>13</v>
      </c>
      <c r="B22" s="325" t="s">
        <v>25</v>
      </c>
      <c r="C22" s="326">
        <v>46204</v>
      </c>
      <c r="D22" s="327" t="s">
        <v>71</v>
      </c>
      <c r="E22" s="328">
        <v>1259</v>
      </c>
      <c r="F22" s="203" t="s">
        <v>416</v>
      </c>
      <c r="G22" s="329" t="s">
        <v>417</v>
      </c>
      <c r="H22" s="330"/>
      <c r="I22" s="330"/>
      <c r="J22" s="295"/>
      <c r="K22" s="208"/>
      <c r="L22" s="208"/>
      <c r="M22" s="331"/>
      <c r="N22" s="208"/>
      <c r="O22" s="332">
        <v>1259</v>
      </c>
      <c r="P22" s="333" t="s">
        <v>441</v>
      </c>
      <c r="Q22" s="296" t="s">
        <v>16</v>
      </c>
    </row>
    <row r="23" spans="1:18" s="320" customFormat="1" ht="35.1" customHeight="1">
      <c r="A23" s="283" t="s">
        <v>13</v>
      </c>
      <c r="B23" s="298" t="s">
        <v>47</v>
      </c>
      <c r="C23" s="299">
        <v>46204</v>
      </c>
      <c r="D23" s="214" t="s">
        <v>418</v>
      </c>
      <c r="E23" s="334">
        <v>4584</v>
      </c>
      <c r="F23" s="216" t="s">
        <v>419</v>
      </c>
      <c r="G23" s="335" t="s">
        <v>423</v>
      </c>
      <c r="H23" s="231"/>
      <c r="I23" s="231"/>
      <c r="J23" s="242"/>
      <c r="K23" s="217"/>
      <c r="L23" s="217"/>
      <c r="M23" s="297"/>
      <c r="N23" s="217">
        <v>4126</v>
      </c>
      <c r="O23" s="300">
        <f>E23-J23-N23</f>
        <v>458</v>
      </c>
      <c r="P23" s="245" t="s">
        <v>442</v>
      </c>
      <c r="Q23" s="282" t="s">
        <v>427</v>
      </c>
    </row>
    <row r="24" spans="1:18" s="320" customFormat="1" ht="35.1" customHeight="1">
      <c r="A24" s="283" t="s">
        <v>13</v>
      </c>
      <c r="B24" s="298" t="s">
        <v>24</v>
      </c>
      <c r="C24" s="299">
        <v>46206</v>
      </c>
      <c r="D24" s="214" t="s">
        <v>424</v>
      </c>
      <c r="E24" s="334">
        <v>1847</v>
      </c>
      <c r="F24" s="216" t="s">
        <v>420</v>
      </c>
      <c r="G24" s="216" t="s">
        <v>426</v>
      </c>
      <c r="H24" s="336"/>
      <c r="I24" s="231"/>
      <c r="J24" s="242"/>
      <c r="K24" s="217"/>
      <c r="L24" s="217"/>
      <c r="M24" s="297"/>
      <c r="N24" s="217"/>
      <c r="O24" s="300">
        <v>1847</v>
      </c>
      <c r="P24" s="245" t="s">
        <v>443</v>
      </c>
      <c r="Q24" s="282" t="s">
        <v>16</v>
      </c>
    </row>
    <row r="25" spans="1:18" s="320" customFormat="1" ht="35.1" customHeight="1">
      <c r="A25" s="283" t="s">
        <v>13</v>
      </c>
      <c r="B25" s="298" t="s">
        <v>25</v>
      </c>
      <c r="C25" s="299">
        <v>46206</v>
      </c>
      <c r="D25" s="214" t="s">
        <v>71</v>
      </c>
      <c r="E25" s="334">
        <v>2521</v>
      </c>
      <c r="F25" s="216" t="s">
        <v>421</v>
      </c>
      <c r="G25" s="216" t="s">
        <v>428</v>
      </c>
      <c r="H25" s="336"/>
      <c r="I25" s="231"/>
      <c r="J25" s="242"/>
      <c r="K25" s="217"/>
      <c r="L25" s="217"/>
      <c r="M25" s="297"/>
      <c r="N25" s="217"/>
      <c r="O25" s="300">
        <v>2521</v>
      </c>
      <c r="P25" s="245" t="s">
        <v>444</v>
      </c>
      <c r="Q25" s="282" t="s">
        <v>16</v>
      </c>
    </row>
    <row r="26" spans="1:18" s="320" customFormat="1" ht="35.1" customHeight="1">
      <c r="A26" s="283" t="s">
        <v>13</v>
      </c>
      <c r="B26" s="355" t="s">
        <v>22</v>
      </c>
      <c r="C26" s="356">
        <v>46206</v>
      </c>
      <c r="D26" s="276" t="s">
        <v>350</v>
      </c>
      <c r="E26" s="357">
        <v>984</v>
      </c>
      <c r="F26" s="232" t="s">
        <v>422</v>
      </c>
      <c r="G26" s="358" t="s">
        <v>429</v>
      </c>
      <c r="H26" s="277"/>
      <c r="I26" s="277"/>
      <c r="J26" s="278"/>
      <c r="K26" s="279"/>
      <c r="L26" s="279"/>
      <c r="M26" s="280"/>
      <c r="N26" s="279">
        <v>0</v>
      </c>
      <c r="O26" s="359">
        <v>984</v>
      </c>
      <c r="P26" s="360" t="s">
        <v>454</v>
      </c>
      <c r="Q26" s="281" t="s">
        <v>16</v>
      </c>
    </row>
    <row r="27" spans="1:18" s="320" customFormat="1" ht="35.1" customHeight="1" thickBot="1">
      <c r="A27" s="283" t="s">
        <v>13</v>
      </c>
      <c r="B27" s="298" t="s">
        <v>25</v>
      </c>
      <c r="C27" s="213">
        <v>46209</v>
      </c>
      <c r="D27" s="214" t="s">
        <v>71</v>
      </c>
      <c r="E27" s="334">
        <v>1487</v>
      </c>
      <c r="F27" s="232" t="s">
        <v>425</v>
      </c>
      <c r="G27" s="358" t="s">
        <v>440</v>
      </c>
      <c r="H27" s="231"/>
      <c r="I27" s="236"/>
      <c r="J27" s="242"/>
      <c r="K27" s="293"/>
      <c r="L27" s="293"/>
      <c r="M27" s="337"/>
      <c r="N27" s="217">
        <v>221</v>
      </c>
      <c r="O27" s="300">
        <f>E27-J27-N27</f>
        <v>1266</v>
      </c>
      <c r="P27" s="360" t="s">
        <v>455</v>
      </c>
      <c r="Q27" s="282" t="s">
        <v>445</v>
      </c>
      <c r="R27" s="324"/>
    </row>
    <row r="28" spans="1:18" s="320" customFormat="1" ht="35.1" customHeight="1" thickBot="1">
      <c r="A28" s="283" t="s">
        <v>13</v>
      </c>
      <c r="B28" s="298" t="s">
        <v>25</v>
      </c>
      <c r="C28" s="213">
        <v>46209</v>
      </c>
      <c r="D28" s="214" t="s">
        <v>71</v>
      </c>
      <c r="E28" s="352">
        <v>507</v>
      </c>
      <c r="F28" s="232" t="s">
        <v>433</v>
      </c>
      <c r="G28" s="358" t="s">
        <v>446</v>
      </c>
      <c r="H28" s="238"/>
      <c r="I28" s="236"/>
      <c r="J28" s="239"/>
      <c r="K28" s="293"/>
      <c r="L28" s="293"/>
      <c r="M28" s="337"/>
      <c r="N28" s="240">
        <v>0</v>
      </c>
      <c r="O28" s="300">
        <f t="shared" ref="O28:O42" si="1">E28-J28-N28</f>
        <v>507</v>
      </c>
      <c r="P28" s="360" t="s">
        <v>456</v>
      </c>
      <c r="Q28" s="354" t="s">
        <v>16</v>
      </c>
      <c r="R28" s="324"/>
    </row>
    <row r="29" spans="1:18" s="320" customFormat="1" ht="35.1" customHeight="1" thickBot="1">
      <c r="A29" s="283" t="s">
        <v>13</v>
      </c>
      <c r="B29" s="351" t="s">
        <v>358</v>
      </c>
      <c r="C29" s="213">
        <v>46209</v>
      </c>
      <c r="D29" s="214" t="s">
        <v>57</v>
      </c>
      <c r="E29" s="352">
        <v>2409.5</v>
      </c>
      <c r="F29" s="232" t="s">
        <v>434</v>
      </c>
      <c r="G29" s="358" t="s">
        <v>447</v>
      </c>
      <c r="H29" s="238"/>
      <c r="I29" s="236"/>
      <c r="J29" s="239"/>
      <c r="K29" s="293"/>
      <c r="L29" s="293"/>
      <c r="M29" s="337"/>
      <c r="N29" s="240">
        <v>290</v>
      </c>
      <c r="O29" s="300">
        <f t="shared" si="1"/>
        <v>2119.5</v>
      </c>
      <c r="P29" s="360" t="s">
        <v>457</v>
      </c>
      <c r="Q29" s="354" t="s">
        <v>448</v>
      </c>
      <c r="R29" s="324"/>
    </row>
    <row r="30" spans="1:18" s="320" customFormat="1" ht="35.1" customHeight="1" thickBot="1">
      <c r="A30" s="283" t="s">
        <v>13</v>
      </c>
      <c r="B30" s="351" t="s">
        <v>19</v>
      </c>
      <c r="C30" s="213">
        <v>46209</v>
      </c>
      <c r="D30" s="214" t="s">
        <v>402</v>
      </c>
      <c r="E30" s="352">
        <v>2007</v>
      </c>
      <c r="F30" s="232" t="s">
        <v>435</v>
      </c>
      <c r="G30" s="358" t="s">
        <v>449</v>
      </c>
      <c r="H30" s="238"/>
      <c r="I30" s="236"/>
      <c r="J30" s="239"/>
      <c r="K30" s="293"/>
      <c r="L30" s="293"/>
      <c r="M30" s="337"/>
      <c r="N30" s="240">
        <v>0</v>
      </c>
      <c r="O30" s="300">
        <f t="shared" si="1"/>
        <v>2007</v>
      </c>
      <c r="P30" s="360" t="s">
        <v>458</v>
      </c>
      <c r="Q30" s="354" t="s">
        <v>16</v>
      </c>
      <c r="R30" s="324"/>
    </row>
    <row r="31" spans="1:18" s="320" customFormat="1" ht="35.1" customHeight="1" thickBot="1">
      <c r="A31" s="283" t="s">
        <v>13</v>
      </c>
      <c r="B31" s="351" t="s">
        <v>19</v>
      </c>
      <c r="C31" s="213">
        <v>46209</v>
      </c>
      <c r="D31" s="214" t="s">
        <v>402</v>
      </c>
      <c r="E31" s="352">
        <v>2010</v>
      </c>
      <c r="F31" s="232" t="s">
        <v>436</v>
      </c>
      <c r="G31" s="358" t="s">
        <v>450</v>
      </c>
      <c r="H31" s="238"/>
      <c r="I31" s="236"/>
      <c r="J31" s="239"/>
      <c r="K31" s="293"/>
      <c r="L31" s="293"/>
      <c r="M31" s="337"/>
      <c r="N31" s="240">
        <v>0</v>
      </c>
      <c r="O31" s="300">
        <f t="shared" si="1"/>
        <v>2010</v>
      </c>
      <c r="P31" s="360" t="s">
        <v>459</v>
      </c>
      <c r="Q31" s="354" t="s">
        <v>16</v>
      </c>
      <c r="R31" s="324"/>
    </row>
    <row r="32" spans="1:18" s="320" customFormat="1" ht="35.1" customHeight="1" thickBot="1">
      <c r="A32" s="283" t="s">
        <v>13</v>
      </c>
      <c r="B32" s="351" t="s">
        <v>25</v>
      </c>
      <c r="C32" s="237">
        <v>46211</v>
      </c>
      <c r="D32" s="214" t="s">
        <v>71</v>
      </c>
      <c r="E32" s="352">
        <v>1462</v>
      </c>
      <c r="F32" s="232" t="s">
        <v>437</v>
      </c>
      <c r="G32" s="358" t="s">
        <v>451</v>
      </c>
      <c r="H32" s="238"/>
      <c r="I32" s="236"/>
      <c r="J32" s="239"/>
      <c r="K32" s="293"/>
      <c r="L32" s="293"/>
      <c r="M32" s="337"/>
      <c r="N32" s="240">
        <v>0</v>
      </c>
      <c r="O32" s="300">
        <f t="shared" si="1"/>
        <v>1462</v>
      </c>
      <c r="P32" s="360" t="s">
        <v>460</v>
      </c>
      <c r="Q32" s="354" t="s">
        <v>16</v>
      </c>
      <c r="R32" s="324"/>
    </row>
    <row r="33" spans="1:20" s="320" customFormat="1" ht="35.1" customHeight="1" thickBot="1">
      <c r="A33" s="283" t="s">
        <v>13</v>
      </c>
      <c r="B33" s="351" t="s">
        <v>25</v>
      </c>
      <c r="C33" s="237">
        <v>46212</v>
      </c>
      <c r="D33" s="214" t="s">
        <v>71</v>
      </c>
      <c r="E33" s="352">
        <v>953</v>
      </c>
      <c r="F33" s="232" t="s">
        <v>438</v>
      </c>
      <c r="G33" s="358" t="s">
        <v>452</v>
      </c>
      <c r="H33" s="238"/>
      <c r="I33" s="236"/>
      <c r="J33" s="239"/>
      <c r="K33" s="293"/>
      <c r="L33" s="293"/>
      <c r="M33" s="337"/>
      <c r="N33" s="240">
        <v>220</v>
      </c>
      <c r="O33" s="300">
        <f t="shared" si="1"/>
        <v>733</v>
      </c>
      <c r="P33" s="360" t="s">
        <v>461</v>
      </c>
      <c r="Q33" s="354" t="s">
        <v>453</v>
      </c>
      <c r="R33" s="324"/>
    </row>
    <row r="34" spans="1:20" s="320" customFormat="1" ht="35.1" customHeight="1" thickBot="1">
      <c r="A34" s="261" t="s">
        <v>13</v>
      </c>
      <c r="B34" s="351" t="s">
        <v>358</v>
      </c>
      <c r="C34" s="237">
        <v>46213</v>
      </c>
      <c r="D34" s="214" t="s">
        <v>57</v>
      </c>
      <c r="E34" s="352">
        <v>2786</v>
      </c>
      <c r="F34" s="216" t="s">
        <v>439</v>
      </c>
      <c r="G34" s="216" t="s">
        <v>462</v>
      </c>
      <c r="H34" s="238"/>
      <c r="I34" s="236"/>
      <c r="J34" s="239"/>
      <c r="K34" s="293"/>
      <c r="L34" s="293"/>
      <c r="M34" s="337"/>
      <c r="N34" s="240">
        <v>1885</v>
      </c>
      <c r="O34" s="300">
        <f t="shared" si="1"/>
        <v>901</v>
      </c>
      <c r="P34" s="360" t="s">
        <v>473</v>
      </c>
      <c r="Q34" s="354" t="s">
        <v>463</v>
      </c>
      <c r="R34" s="324"/>
    </row>
    <row r="35" spans="1:20" s="320" customFormat="1" ht="35.1" customHeight="1" thickBot="1">
      <c r="A35" s="261" t="s">
        <v>13</v>
      </c>
      <c r="B35" s="351" t="s">
        <v>25</v>
      </c>
      <c r="C35" s="237">
        <v>46216</v>
      </c>
      <c r="D35" s="214" t="s">
        <v>71</v>
      </c>
      <c r="E35" s="352">
        <v>1427</v>
      </c>
      <c r="F35" s="216" t="s">
        <v>464</v>
      </c>
      <c r="G35" s="216" t="s">
        <v>465</v>
      </c>
      <c r="H35" s="238"/>
      <c r="I35" s="236"/>
      <c r="J35" s="239"/>
      <c r="K35" s="293"/>
      <c r="L35" s="293"/>
      <c r="M35" s="337"/>
      <c r="N35" s="240">
        <v>289</v>
      </c>
      <c r="O35" s="300">
        <f t="shared" si="1"/>
        <v>1138</v>
      </c>
      <c r="P35" s="360" t="s">
        <v>474</v>
      </c>
      <c r="Q35" s="354" t="s">
        <v>466</v>
      </c>
      <c r="R35" s="324"/>
    </row>
    <row r="36" spans="1:20" s="320" customFormat="1" ht="35.1" customHeight="1">
      <c r="A36" s="261" t="s">
        <v>13</v>
      </c>
      <c r="B36" s="351" t="s">
        <v>353</v>
      </c>
      <c r="C36" s="237">
        <v>46218</v>
      </c>
      <c r="D36" s="214" t="s">
        <v>399</v>
      </c>
      <c r="E36" s="352">
        <v>2895</v>
      </c>
      <c r="F36" s="216" t="s">
        <v>467</v>
      </c>
      <c r="G36" s="216" t="s">
        <v>468</v>
      </c>
      <c r="H36" s="238"/>
      <c r="I36" s="231"/>
      <c r="J36" s="239"/>
      <c r="K36" s="217"/>
      <c r="L36" s="217"/>
      <c r="M36" s="297"/>
      <c r="N36" s="240">
        <v>1699</v>
      </c>
      <c r="O36" s="300">
        <f t="shared" si="1"/>
        <v>1196</v>
      </c>
      <c r="P36" s="360" t="s">
        <v>475</v>
      </c>
      <c r="Q36" s="354" t="s">
        <v>469</v>
      </c>
      <c r="R36" s="324"/>
    </row>
    <row r="37" spans="1:20" s="320" customFormat="1" ht="35.1" customHeight="1">
      <c r="A37" s="212" t="s">
        <v>13</v>
      </c>
      <c r="B37" s="298" t="s">
        <v>25</v>
      </c>
      <c r="C37" s="237">
        <v>46218</v>
      </c>
      <c r="D37" s="214" t="s">
        <v>71</v>
      </c>
      <c r="E37" s="334">
        <v>962</v>
      </c>
      <c r="F37" s="216" t="s">
        <v>470</v>
      </c>
      <c r="G37" s="216" t="s">
        <v>471</v>
      </c>
      <c r="H37" s="231"/>
      <c r="I37" s="361"/>
      <c r="J37" s="242"/>
      <c r="K37" s="294"/>
      <c r="L37" s="294"/>
      <c r="M37" s="362"/>
      <c r="N37" s="217">
        <v>315</v>
      </c>
      <c r="O37" s="300">
        <f t="shared" si="1"/>
        <v>647</v>
      </c>
      <c r="P37" s="360" t="s">
        <v>476</v>
      </c>
      <c r="Q37" s="354" t="s">
        <v>472</v>
      </c>
      <c r="R37" s="324"/>
    </row>
    <row r="38" spans="1:20" s="320" customFormat="1" ht="35.1" customHeight="1">
      <c r="A38" s="261" t="s">
        <v>13</v>
      </c>
      <c r="B38" s="351" t="s">
        <v>30</v>
      </c>
      <c r="C38" s="363">
        <v>46219</v>
      </c>
      <c r="D38" s="214" t="s">
        <v>182</v>
      </c>
      <c r="E38" s="352">
        <v>7517</v>
      </c>
      <c r="F38" s="216" t="s">
        <v>477</v>
      </c>
      <c r="G38" s="216" t="s">
        <v>478</v>
      </c>
      <c r="H38" s="238"/>
      <c r="I38" s="361"/>
      <c r="J38" s="239"/>
      <c r="K38" s="294"/>
      <c r="L38" s="294"/>
      <c r="M38" s="362"/>
      <c r="N38" s="240">
        <v>2001</v>
      </c>
      <c r="O38" s="364">
        <f t="shared" si="1"/>
        <v>5516</v>
      </c>
      <c r="P38" s="360" t="s">
        <v>479</v>
      </c>
      <c r="Q38" s="354" t="s">
        <v>480</v>
      </c>
      <c r="R38" s="324"/>
    </row>
    <row r="39" spans="1:20" s="320" customFormat="1" ht="35.1" customHeight="1">
      <c r="A39" s="261" t="s">
        <v>13</v>
      </c>
      <c r="B39" s="351" t="s">
        <v>287</v>
      </c>
      <c r="C39" s="363">
        <v>46219</v>
      </c>
      <c r="D39" s="214" t="s">
        <v>481</v>
      </c>
      <c r="E39" s="352">
        <v>6342</v>
      </c>
      <c r="F39" s="216" t="s">
        <v>486</v>
      </c>
      <c r="G39" s="216" t="s">
        <v>482</v>
      </c>
      <c r="H39" s="238"/>
      <c r="I39" s="361"/>
      <c r="J39" s="239"/>
      <c r="K39" s="294"/>
      <c r="L39" s="294"/>
      <c r="M39" s="362"/>
      <c r="N39" s="240">
        <v>3368</v>
      </c>
      <c r="O39" s="364">
        <f t="shared" si="1"/>
        <v>2974</v>
      </c>
      <c r="P39" s="360" t="s">
        <v>483</v>
      </c>
      <c r="Q39" s="354" t="s">
        <v>484</v>
      </c>
      <c r="R39" s="324"/>
    </row>
    <row r="40" spans="1:20" s="320" customFormat="1" ht="35.1" customHeight="1">
      <c r="A40" s="261" t="s">
        <v>13</v>
      </c>
      <c r="B40" s="351" t="s">
        <v>25</v>
      </c>
      <c r="C40" s="363">
        <v>46190</v>
      </c>
      <c r="D40" s="214" t="s">
        <v>71</v>
      </c>
      <c r="E40" s="352">
        <v>623</v>
      </c>
      <c r="F40" s="216" t="s">
        <v>485</v>
      </c>
      <c r="G40" s="216" t="s">
        <v>487</v>
      </c>
      <c r="H40" s="238"/>
      <c r="I40" s="361"/>
      <c r="J40" s="239"/>
      <c r="K40" s="294"/>
      <c r="L40" s="294"/>
      <c r="M40" s="362"/>
      <c r="N40" s="240">
        <v>0</v>
      </c>
      <c r="O40" s="364">
        <f t="shared" si="1"/>
        <v>623</v>
      </c>
      <c r="P40" s="353" t="s">
        <v>490</v>
      </c>
      <c r="Q40" s="354" t="s">
        <v>16</v>
      </c>
      <c r="R40" s="324"/>
      <c r="T40" s="365">
        <f>SUM(E22:E40)</f>
        <v>44582.5</v>
      </c>
    </row>
    <row r="41" spans="1:20" s="320" customFormat="1" ht="35.1" customHeight="1">
      <c r="A41" s="261" t="s">
        <v>13</v>
      </c>
      <c r="B41" s="351" t="s">
        <v>22</v>
      </c>
      <c r="C41" s="363">
        <v>46223</v>
      </c>
      <c r="D41" s="214" t="s">
        <v>350</v>
      </c>
      <c r="E41" s="352">
        <v>1614</v>
      </c>
      <c r="F41" s="235" t="s">
        <v>488</v>
      </c>
      <c r="G41" s="216" t="s">
        <v>489</v>
      </c>
      <c r="H41" s="238"/>
      <c r="I41" s="238"/>
      <c r="J41" s="239"/>
      <c r="K41" s="240"/>
      <c r="L41" s="240"/>
      <c r="M41" s="366"/>
      <c r="N41" s="240">
        <v>0</v>
      </c>
      <c r="O41" s="364">
        <f t="shared" si="1"/>
        <v>1614</v>
      </c>
      <c r="P41" s="353" t="s">
        <v>491</v>
      </c>
      <c r="Q41" s="354" t="s">
        <v>16</v>
      </c>
      <c r="R41" s="324"/>
      <c r="T41" s="365"/>
    </row>
    <row r="42" spans="1:20" s="324" customFormat="1" ht="35.1" customHeight="1">
      <c r="A42" s="261" t="s">
        <v>13</v>
      </c>
      <c r="B42" s="351" t="s">
        <v>25</v>
      </c>
      <c r="C42" s="363">
        <v>46223</v>
      </c>
      <c r="D42" s="214" t="s">
        <v>71</v>
      </c>
      <c r="E42" s="352">
        <v>645</v>
      </c>
      <c r="F42" s="235" t="s">
        <v>492</v>
      </c>
      <c r="G42" s="216" t="s">
        <v>493</v>
      </c>
      <c r="H42" s="238"/>
      <c r="I42" s="238"/>
      <c r="J42" s="239"/>
      <c r="K42" s="240"/>
      <c r="L42" s="240"/>
      <c r="M42" s="366"/>
      <c r="N42" s="240">
        <v>0</v>
      </c>
      <c r="O42" s="364">
        <f t="shared" si="1"/>
        <v>645</v>
      </c>
      <c r="P42" s="353" t="s">
        <v>494</v>
      </c>
      <c r="Q42" s="354" t="s">
        <v>16</v>
      </c>
      <c r="T42" s="367"/>
    </row>
    <row r="43" spans="1:20" s="320" customFormat="1" ht="35.1" customHeight="1" thickBot="1">
      <c r="A43" s="323"/>
      <c r="B43" s="338"/>
      <c r="C43" s="339"/>
      <c r="D43" s="340"/>
      <c r="E43" s="341"/>
      <c r="F43" s="342" t="s">
        <v>425</v>
      </c>
      <c r="G43" s="343"/>
      <c r="H43" s="344"/>
      <c r="I43" s="344"/>
      <c r="J43" s="345"/>
      <c r="K43" s="346"/>
      <c r="L43" s="346"/>
      <c r="M43" s="350"/>
      <c r="N43" s="346"/>
      <c r="O43" s="347"/>
      <c r="P43" s="348" t="s">
        <v>432</v>
      </c>
      <c r="Q43" s="349"/>
      <c r="R43" s="324"/>
    </row>
    <row r="44" spans="1:20" s="1" customFormat="1" ht="28.5" customHeight="1">
      <c r="B44" s="321"/>
      <c r="D44" s="275" t="s">
        <v>38</v>
      </c>
      <c r="E44" s="322">
        <f>SUM(E6:E42)</f>
        <v>85735.55</v>
      </c>
      <c r="H44" s="108">
        <f>SUM(H6:H21)</f>
        <v>33592.6</v>
      </c>
      <c r="I44" s="109" t="e">
        <f>SUM(#REF!)</f>
        <v>#REF!</v>
      </c>
      <c r="J44" s="110">
        <f>SUM(J6:J21)</f>
        <v>24874.6</v>
      </c>
      <c r="K44" s="110">
        <f>SUM(K6:K21)</f>
        <v>0</v>
      </c>
      <c r="L44" s="110">
        <f>SUM(L6:L21)</f>
        <v>0</v>
      </c>
      <c r="M44" s="110">
        <f>SUM(M6:M21)</f>
        <v>0</v>
      </c>
      <c r="N44" s="110">
        <f>SUM(N6:N21)</f>
        <v>0</v>
      </c>
      <c r="O44" s="111">
        <f>SUM(O6:O42)</f>
        <v>41145.5</v>
      </c>
      <c r="P44" s="112"/>
    </row>
    <row r="45" spans="1:20">
      <c r="B45" s="385" t="s">
        <v>409</v>
      </c>
      <c r="C45" s="386"/>
      <c r="D45" s="114"/>
      <c r="E45" s="115">
        <f>+H44</f>
        <v>33592.6</v>
      </c>
      <c r="F45" s="116" t="s">
        <v>240</v>
      </c>
    </row>
    <row r="46" spans="1:20">
      <c r="B46" s="385" t="s">
        <v>410</v>
      </c>
      <c r="C46" s="386"/>
      <c r="D46" s="5" t="s">
        <v>43</v>
      </c>
      <c r="E46" s="117"/>
      <c r="F46" s="116" t="s">
        <v>240</v>
      </c>
      <c r="H46" s="387" t="s">
        <v>241</v>
      </c>
      <c r="I46" s="387"/>
      <c r="J46" s="387"/>
      <c r="K46" s="119"/>
      <c r="L46" s="119" t="s">
        <v>375</v>
      </c>
      <c r="M46" s="118" t="s">
        <v>242</v>
      </c>
      <c r="N46" s="119" t="s">
        <v>375</v>
      </c>
      <c r="O46" s="119"/>
      <c r="P46" s="119" t="s">
        <v>242</v>
      </c>
    </row>
    <row r="47" spans="1:20" ht="15.75" thickBot="1">
      <c r="B47" s="369" t="s">
        <v>39</v>
      </c>
      <c r="C47" s="369"/>
      <c r="E47" s="120">
        <f>SUM(E45:E46)</f>
        <v>33592.6</v>
      </c>
      <c r="F47" s="116" t="s">
        <v>240</v>
      </c>
    </row>
    <row r="48" spans="1:20" ht="15.75" thickTop="1">
      <c r="C48"/>
    </row>
    <row r="49" spans="2:16">
      <c r="C49"/>
    </row>
    <row r="50" spans="2:16">
      <c r="C50"/>
      <c r="E50" s="368" t="e">
        <f>SUM(E22:E42,E20,E19,E17,E16,E15,E14,#REF!,#REF!,#REF!,#REF!,#REF!)</f>
        <v>#REF!</v>
      </c>
    </row>
    <row r="51" spans="2:16">
      <c r="B51" s="258"/>
      <c r="C51" s="259"/>
      <c r="H51" s="370" t="s">
        <v>373</v>
      </c>
      <c r="I51" s="370"/>
      <c r="J51" s="370"/>
      <c r="K51" s="119"/>
      <c r="L51" s="122" t="s">
        <v>328</v>
      </c>
      <c r="M51" s="121" t="s">
        <v>40</v>
      </c>
      <c r="N51" s="122" t="s">
        <v>328</v>
      </c>
      <c r="O51" s="119"/>
      <c r="P51" s="122" t="s">
        <v>41</v>
      </c>
    </row>
    <row r="52" spans="2:16">
      <c r="C52"/>
      <c r="H52" s="371" t="s">
        <v>374</v>
      </c>
      <c r="I52" s="371"/>
      <c r="J52" s="371"/>
      <c r="K52" s="124"/>
      <c r="L52" s="123" t="s">
        <v>376</v>
      </c>
      <c r="M52" s="123" t="s">
        <v>245</v>
      </c>
      <c r="N52" s="118" t="s">
        <v>414</v>
      </c>
      <c r="O52" s="119"/>
      <c r="P52" s="123" t="s">
        <v>42</v>
      </c>
    </row>
    <row r="53" spans="2:16">
      <c r="C53"/>
    </row>
    <row r="57" spans="2:16" ht="15" customHeight="1">
      <c r="B57" s="125"/>
      <c r="C57" s="126"/>
      <c r="D57" s="125"/>
      <c r="E57" s="125"/>
    </row>
    <row r="58" spans="2:16" ht="15" customHeight="1">
      <c r="B58" s="125"/>
      <c r="C58" s="126"/>
      <c r="D58" s="125"/>
      <c r="E58" s="125"/>
      <c r="P58" s="127"/>
    </row>
    <row r="59" spans="2:16" ht="15" customHeight="1">
      <c r="B59" s="125"/>
      <c r="C59" s="126"/>
      <c r="D59" s="125"/>
      <c r="E59" s="125"/>
      <c r="P59" s="127"/>
    </row>
    <row r="60" spans="2:16" ht="15" customHeight="1">
      <c r="B60" s="125"/>
      <c r="C60" s="126"/>
      <c r="D60" s="125"/>
      <c r="E60" s="125"/>
      <c r="P60" s="127"/>
    </row>
    <row r="61" spans="2:16" ht="15" customHeight="1">
      <c r="B61" s="125"/>
      <c r="C61" s="126"/>
      <c r="D61" s="125"/>
      <c r="E61" s="125"/>
      <c r="P61" s="127"/>
    </row>
    <row r="62" spans="2:16" ht="15" customHeight="1">
      <c r="B62" s="125"/>
      <c r="C62" s="126"/>
      <c r="D62" s="125"/>
      <c r="E62" s="125"/>
      <c r="P62" s="127"/>
    </row>
    <row r="63" spans="2:16" ht="15" customHeight="1">
      <c r="B63" s="125"/>
      <c r="C63" s="126"/>
      <c r="D63" s="125"/>
      <c r="E63" s="125"/>
      <c r="P63" s="127"/>
    </row>
    <row r="64" spans="2:16" ht="15" customHeight="1">
      <c r="B64" s="125"/>
      <c r="C64" s="126"/>
      <c r="D64" s="125"/>
      <c r="E64" s="125"/>
      <c r="P64" s="127"/>
    </row>
    <row r="65" spans="2:16" ht="15" customHeight="1">
      <c r="B65" s="125"/>
      <c r="C65" s="126"/>
      <c r="D65" s="125"/>
      <c r="E65" s="125"/>
      <c r="P65" s="127"/>
    </row>
    <row r="66" spans="2:16" ht="15" customHeight="1">
      <c r="B66" s="125"/>
      <c r="C66" s="126"/>
      <c r="D66" s="125"/>
      <c r="E66" s="125"/>
      <c r="P66" s="127"/>
    </row>
    <row r="67" spans="2:16" ht="15" customHeight="1">
      <c r="B67" s="125"/>
      <c r="C67" s="126"/>
      <c r="D67" s="125"/>
      <c r="E67" s="125"/>
      <c r="P67" s="127"/>
    </row>
    <row r="68" spans="2:16" ht="15" customHeight="1">
      <c r="B68" s="125"/>
      <c r="C68" s="126"/>
      <c r="D68" s="125"/>
      <c r="E68" s="125"/>
      <c r="P68" s="128"/>
    </row>
    <row r="69" spans="2:16" ht="15" customHeight="1">
      <c r="B69" s="125"/>
      <c r="C69" s="126"/>
      <c r="D69" s="125"/>
      <c r="E69" s="125"/>
      <c r="P69" s="128"/>
    </row>
    <row r="70" spans="2:16" ht="15" customHeight="1">
      <c r="B70" s="125"/>
      <c r="C70" s="126"/>
      <c r="D70" s="125"/>
      <c r="E70" s="125"/>
      <c r="P70" s="128"/>
    </row>
    <row r="71" spans="2:16" ht="15" customHeight="1">
      <c r="B71" s="125"/>
      <c r="C71" s="126"/>
      <c r="D71" s="125"/>
      <c r="E71" s="125"/>
      <c r="P71" s="128"/>
    </row>
    <row r="72" spans="2:16" ht="15" customHeight="1">
      <c r="B72" s="125"/>
      <c r="C72" s="126"/>
      <c r="D72" s="125"/>
      <c r="E72" s="125"/>
      <c r="P72" s="128"/>
    </row>
    <row r="73" spans="2:16" ht="15" customHeight="1">
      <c r="B73" s="125"/>
      <c r="C73" s="126"/>
      <c r="D73" s="125"/>
      <c r="E73" s="125"/>
      <c r="P73" s="128"/>
    </row>
    <row r="74" spans="2:16" ht="15" customHeight="1">
      <c r="B74" s="125"/>
      <c r="C74" s="126"/>
      <c r="D74" s="125"/>
      <c r="E74" s="125"/>
      <c r="P74" s="128"/>
    </row>
    <row r="75" spans="2:16" ht="15" customHeight="1">
      <c r="B75" s="125"/>
      <c r="C75" s="126"/>
      <c r="D75" s="125"/>
      <c r="E75" s="125"/>
      <c r="P75" s="128"/>
    </row>
    <row r="76" spans="2:16" ht="15" customHeight="1">
      <c r="B76" s="125"/>
      <c r="C76" s="126"/>
      <c r="D76" s="125"/>
      <c r="E76" s="125"/>
      <c r="P76" s="128"/>
    </row>
    <row r="77" spans="2:16" ht="15" customHeight="1">
      <c r="B77" s="125"/>
      <c r="C77" s="126"/>
      <c r="D77" s="125"/>
      <c r="E77" s="125"/>
      <c r="P77" s="128"/>
    </row>
    <row r="78" spans="2:16">
      <c r="E78" s="129"/>
      <c r="P78" s="128"/>
    </row>
    <row r="79" spans="2:16">
      <c r="E79" s="129"/>
      <c r="P79" s="128"/>
    </row>
    <row r="80" spans="2:16">
      <c r="E80" s="129"/>
      <c r="P80" s="130"/>
    </row>
    <row r="81" spans="5:16">
      <c r="E81" s="129"/>
      <c r="P81" s="130"/>
    </row>
    <row r="82" spans="5:16">
      <c r="E82" s="129"/>
      <c r="P82" s="130"/>
    </row>
    <row r="83" spans="5:16">
      <c r="E83" s="129"/>
      <c r="P83" s="130"/>
    </row>
    <row r="84" spans="5:16">
      <c r="E84" s="129"/>
      <c r="P84" s="130"/>
    </row>
    <row r="85" spans="5:16">
      <c r="E85" s="129"/>
      <c r="P85" s="130"/>
    </row>
    <row r="86" spans="5:16">
      <c r="E86" s="129"/>
      <c r="P86" s="130"/>
    </row>
    <row r="87" spans="5:16">
      <c r="E87" s="129"/>
      <c r="P87" s="130"/>
    </row>
    <row r="88" spans="5:16">
      <c r="E88" s="129"/>
      <c r="P88" s="130"/>
    </row>
    <row r="89" spans="5:16">
      <c r="E89" s="129"/>
      <c r="P89" s="130"/>
    </row>
    <row r="90" spans="5:16">
      <c r="E90" s="129"/>
      <c r="P90" s="130"/>
    </row>
    <row r="91" spans="5:16">
      <c r="E91" s="129"/>
      <c r="P91" s="130"/>
    </row>
    <row r="92" spans="5:16">
      <c r="E92" s="129"/>
      <c r="P92" s="130"/>
    </row>
    <row r="93" spans="5:16">
      <c r="E93" s="129"/>
      <c r="P93" s="130"/>
    </row>
    <row r="94" spans="5:16">
      <c r="E94" s="129"/>
      <c r="P94" s="130"/>
    </row>
    <row r="95" spans="5:16">
      <c r="P95" s="130"/>
    </row>
    <row r="96" spans="5:16">
      <c r="P96" s="130"/>
    </row>
    <row r="97" spans="16:16">
      <c r="P97" s="130"/>
    </row>
    <row r="98" spans="16:16">
      <c r="P98" s="130"/>
    </row>
  </sheetData>
  <mergeCells count="9">
    <mergeCell ref="B47:C47"/>
    <mergeCell ref="H51:J51"/>
    <mergeCell ref="H52:J52"/>
    <mergeCell ref="A1:G3"/>
    <mergeCell ref="H1:Q1"/>
    <mergeCell ref="P2:Q3"/>
    <mergeCell ref="B45:C45"/>
    <mergeCell ref="B46:C46"/>
    <mergeCell ref="H46:J46"/>
  </mergeCells>
  <phoneticPr fontId="37" type="noConversion"/>
  <printOptions horizontalCentered="1"/>
  <pageMargins left="7.8740157480315001E-2" right="7.8740157480315001E-2" top="0.39370078740157499" bottom="7.8740157480315001E-2" header="0.31496062992126" footer="0.31496062992126"/>
  <pageSetup paperSize="9" scale="53" fitToHeight="0" orientation="landscape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</vt:i4>
      </vt:variant>
    </vt:vector>
  </HeadingPairs>
  <TitlesOfParts>
    <vt:vector size="6" baseType="lpstr">
      <vt:lpstr>04-2026</vt:lpstr>
      <vt:lpstr>07-2026</vt:lpstr>
      <vt:lpstr>'04-2026'!Print_Area</vt:lpstr>
      <vt:lpstr>'07-2026'!Print_Area</vt:lpstr>
      <vt:lpstr>'04-2026'!Print_Titles</vt:lpstr>
      <vt:lpstr>'07-2026'!Print_Titles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Ivy Lorraine Nabuab</dc:creator>
  <cp:lastModifiedBy>PCO STAFF</cp:lastModifiedBy>
  <cp:lastPrinted>2026-07-09T08:20:54Z</cp:lastPrinted>
  <dcterms:created xsi:type="dcterms:W3CDTF">2022-03-02T10:23:00Z</dcterms:created>
  <dcterms:modified xsi:type="dcterms:W3CDTF">2026-07-28T05:49:58Z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AB2A77635B6A463C9C5B0061579224F2_13</vt:lpwstr>
  </property>
  <property fmtid="{D5CDD505-2E9C-101B-9397-08002B2CF9AE}" pid="3" name="KSOProductBuildVer">
    <vt:lpwstr>1033-12.1.0.25862</vt:lpwstr>
  </property>
  <property fmtid="{D5CDD505-2E9C-101B-9397-08002B2CF9AE}" pid="4" name="CalculationRule">
    <vt:i4>0</vt:i4>
  </property>
</Properties>
</file>